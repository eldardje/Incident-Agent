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Career Platform" sheetId="2" state="visible" r:id="rId4"/>
    <sheet name="Incident Response Agent"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<sst xmlns="http://schemas.openxmlformats.org/spreadsheetml/2006/main" count="523" uniqueCount="269">
  <si>
    <t xml:space="preserve">Project Planning Overview</t>
  </si>
  <si>
    <t xml:space="preserve">Project</t>
  </si>
  <si>
    <t xml:space="preserve">Total Tasks</t>
  </si>
  <si>
    <t xml:space="preserve">Timeline</t>
  </si>
  <si>
    <t xml:space="preserve">AI Stack</t>
  </si>
  <si>
    <t xml:space="preserve">Est. AWS Cost/mo</t>
  </si>
  <si>
    <t xml:space="preserve">Status</t>
  </si>
  <si>
    <t xml:space="preserve">Career Platform</t>
  </si>
  <si>
    <t xml:space="preserve">25</t>
  </si>
  <si>
    <t xml:space="preserve">Weeks 1-12</t>
  </si>
  <si>
    <t xml:space="preserve">LangChain + Claude + n8n</t>
  </si>
  <si>
    <t xml:space="preserve">~$20-25/mo</t>
  </si>
  <si>
    <t xml:space="preserve">Not Started</t>
  </si>
  <si>
    <t xml:space="preserve">Incident Response Agent</t>
  </si>
  <si>
    <t xml:space="preserve">22</t>
  </si>
  <si>
    <t xml:space="preserve">Weeks 1-8</t>
  </si>
  <si>
    <t xml:space="preserve">~$8-10/mo</t>
  </si>
  <si>
    <t xml:space="preserve">TOTAL</t>
  </si>
  <si>
    <t xml:space="preserve">47</t>
  </si>
  <si>
    <t xml:space="preserve">12 Weeks</t>
  </si>
  <si>
    <t xml:space="preserve">Both Projects</t>
  </si>
  <si>
    <t xml:space="preserve">~$28-35/mo</t>
  </si>
  <si>
    <t xml:space="preserve">TECH STACK</t>
  </si>
  <si>
    <t xml:space="preserve">CI/CD</t>
  </si>
  <si>
    <t xml:space="preserve">GitHub Actions - lint, test, Terraform plan/apply, ECR push, ECS deploy, Lambda deploy, prod approval gate</t>
  </si>
  <si>
    <t xml:space="preserve">AWS</t>
  </si>
  <si>
    <t xml:space="preserve">ECS + ECR, Aurora Serverless v2, Lambda, S3, DynamoDB, Secrets Manager, EventBridge, SNS, SES, CloudWatch, API Gateway</t>
  </si>
  <si>
    <t xml:space="preserve">AI</t>
  </si>
  <si>
    <t xml:space="preserve">LangChain + Claude (claude-sonnet-4-20250514) with Pydantic structured outputs in both projects</t>
  </si>
  <si>
    <t xml:space="preserve">Automation</t>
  </si>
  <si>
    <t xml:space="preserve">n8n on ECS - daily job pipeline (Career Platform) + incident routing and notifications (Incident Agent)</t>
  </si>
  <si>
    <t xml:space="preserve">Frontend</t>
  </si>
  <si>
    <t xml:space="preserve">Next.js 14 App Router + TypeScript + Tailwind CSS + shadcn/ui + Clerk Auth</t>
  </si>
  <si>
    <t xml:space="preserve">Backend</t>
  </si>
  <si>
    <t xml:space="preserve">Node.js + Express + TypeScript (Career Platform) | Python Lambdas (both projects)</t>
  </si>
  <si>
    <t xml:space="preserve">IaC</t>
  </si>
  <si>
    <t xml:space="preserve">Terraform with workspaces for dev / staging / prod environments</t>
  </si>
  <si>
    <t xml:space="preserve">GitHub Projects Migration: Task ID = issue title prefix  |  Phase = label  |  Effort = label  |  Status = project board column</t>
  </si>
  <si>
    <t xml:space="preserve">Career Platform - Project Plan</t>
  </si>
  <si>
    <t xml:space="preserve">Effort:  Low = green   Medium = yellow   High = red          Status:  Not Started | In Progress | Blocked | Review | Complete</t>
  </si>
  <si>
    <t xml:space="preserve">ID</t>
  </si>
  <si>
    <t xml:space="preserve">Phase</t>
  </si>
  <si>
    <t xml:space="preserve">Task</t>
  </si>
  <si>
    <t xml:space="preserve">Description</t>
  </si>
  <si>
    <t xml:space="preserve">Acceptance Criteria</t>
  </si>
  <si>
    <t xml:space="preserve">Effort</t>
  </si>
  <si>
    <t xml:space="preserve">Week Start</t>
  </si>
  <si>
    <t xml:space="preserve">Week End</t>
  </si>
  <si>
    <t xml:space="preserve">Comments</t>
  </si>
  <si>
    <t xml:space="preserve">   Phase 1 - Infrastructure</t>
  </si>
  <si>
    <t xml:space="preserve">T-01</t>
  </si>
  <si>
    <t xml:space="preserve">Infrastructure</t>
  </si>
  <si>
    <t xml:space="preserve">AWS Account &amp; IAM Setup</t>
  </si>
  <si>
    <t xml:space="preserve">Create all foundational AWS IAM roles and policies needed for the project. Set up an OIDC identity provider so GitHub Actions can assume AWS roles without storing long-lived credentials. Create an S3 bucket with versioning enabled and a DynamoDB lock table for Terraform remote state management. Apply least-privilege IAM policies for each service: Lambda invoke, ECS task execution, RDS connect, S3 read/write, SES send, SNS publish.</t>
  </si>
  <si>
    <t xml:space="preserve">OIDC provider visible in IAM console. GitHub Actions workflow can assume the deploy role without access keys. S3 state bucket created with versioning on. DynamoDB lock table exists. IAM policies attached to correct roles with no wildcard permissions.</t>
  </si>
  <si>
    <t xml:space="preserve">Low</t>
  </si>
  <si>
    <t xml:space="preserve">Week 1</t>
  </si>
  <si>
    <t xml:space="preserve">Do this first — all other infra depends on it</t>
  </si>
  <si>
    <t xml:space="preserve">T-02</t>
  </si>
  <si>
    <t xml:space="preserve">Terraform Skeleton - Career Platform</t>
  </si>
  <si>
    <t xml:space="preserve">Scaffold the full Terraform project with separate modules for every AWS service: ECS (frontend + backend containers), RDS Aurora Serverless v2 (PostgreSQL), S3 (resume storage), Lambda (Adzuna fetcher, AI scorer), EventBridge (cron), SNS/SES (notifications), DynamoDB (AI scores table), and an ECS task definition for n8n. Use Terraform workspaces to manage dev/staging/prod environment separation. Store all sensitive values in AWS Secrets Manager and reference them via Terraform data sources — no hardcoded secrets in .tf files.</t>
  </si>
  <si>
    <t xml:space="preserve">terraform plan runs with zero errors across all modules. Each module accepts environment-specific variables via tfvars. Secrets Manager data sources resolve correctly. No hardcoded credentials anywhere in the codebase.</t>
  </si>
  <si>
    <t xml:space="preserve">Medium</t>
  </si>
  <si>
    <t xml:space="preserve">Week 2</t>
  </si>
  <si>
    <t xml:space="preserve">n8n ECS task goes in this module too</t>
  </si>
  <si>
    <t xml:space="preserve">T-03</t>
  </si>
  <si>
    <t xml:space="preserve">n8n on ECS - Deploy &amp; Configure</t>
  </si>
  <si>
    <t xml:space="preserve">Deploy n8n as a Docker container using the official n8nio/n8n image on ECS Fargate. Mount an EFS volume for persistent workflow storage so workflows survive container restarts. Configure n8n to use a dedicated schema on the shared RDS PostgreSQL instance for workflow state (execution logs, credentials). Set environment variables for: AWS SES SMTP credentials, Slack webhook URL, and Lambda invoke URLs for the Adzuna fetcher and AI scorer. Protect the n8n UI behind the ALB using HTTP basic auth via an ALB listener rule.</t>
  </si>
  <si>
    <t xml:space="preserve">n8n container shows healthy in ECS. n8n UI loads and is password protected. A test workflow that sends a Slack message and SES email completes successfully. Workflows and credentials persist after a forced container restart. n8n connected to RDS schema for execution history.</t>
  </si>
  <si>
    <t xml:space="preserve">n8n replaces the Notifier Lambda for all routing and notification logic</t>
  </si>
  <si>
    <t xml:space="preserve">T-04</t>
  </si>
  <si>
    <t xml:space="preserve">GitHub Actions - PR Checks Workflow</t>
  </si>
  <si>
    <t xml:space="preserve">Create .github/workflows/pr-checks.yml triggered on every pull request to main. Pipeline steps: (1) ESLint + Prettier on frontend and backend TypeScript, (2) Jest unit tests for Node.js API with coverage threshold at 70%, (3) Pytest for all Python Lambdas using moto for AWS mocking, (4) Terraform fmt check and terraform validate, (5) Terraform plan against dev workspace with the plan output posted as a PR comment using the hashicorp/setup-terraform action. Configure branch protection on main requiring all 5 steps to pass before merge is allowed.</t>
  </si>
  <si>
    <t xml:space="preserve">Opening a PR triggers the workflow automatically. A failing test blocks the merge button. Terraform plan output appears as a comment on the PR. Branch protection prevents direct pushes to main. Coverage report shows in the Actions summary.</t>
  </si>
  <si>
    <t xml:space="preserve">T-05</t>
  </si>
  <si>
    <t xml:space="preserve">GitHub Actions - Deploy Pipeline</t>
  </si>
  <si>
    <t xml:space="preserve">Create .github/workflows/deploy.yml triggered on merge to main. Steps: (1) Terraform apply to the target workspace, (2) Docker build for frontend (Next.js) and backend (Express) images using multi-stage Dockerfiles, (3) Tag images with the commit SHA and push to ECR, (4) Update ECS service with the new task definition triggering a rolling deployment, (5) Package and deploy each Lambda function as a zip via AWS CLI. Add a GitHub Environment called 'production' with a required reviewer approval gate — any prod deployment pauses until a reviewer approves in the GitHub Actions UI.</t>
  </si>
  <si>
    <t xml:space="preserve">Merging to main completes staging deploy within 12 minutes. Prod deployment shows a waiting-for-approval state until manually approved. ECS shows updated task revision running. Lambda $LATEST reflects the new code. ECR repository shows the new image tagged with the commit SHA.</t>
  </si>
  <si>
    <t xml:space="preserve">   Phase 2 - Backend &amp; Auth</t>
  </si>
  <si>
    <t xml:space="preserve">T-06</t>
  </si>
  <si>
    <t xml:space="preserve">Backend &amp; Auth</t>
  </si>
  <si>
    <t xml:space="preserve">RDS Schema &amp; Migrations</t>
  </si>
  <si>
    <t xml:space="preserve">Design and implement the full PostgreSQL database schema using node-pg-migrate. Create migrations for the following tables: users (id UUID, clerk_id VARCHAR, role ENUM, resume_url TEXT, resume_text TEXT, email VARCHAR, created_at TIMESTAMPTZ), companies (id UUID, name VARCHAR, website VARCHAR, admin_user_id UUID FK), jobs (id UUID, company_id UUID FK nullable, source ENUM adzuna/direct, title VARCHAR, description TEXT, location VARCHAR, salary_min INT, salary_max INT, remote BOOLEAN, posted_at TIMESTAMPTZ, expires_at TIMESTAMPTZ), applications (id UUID, user_id UUID FK, job_id UUID FK, status ENUM, applied_at TIMESTAMPTZ, updated_at TIMESTAMPTZ). Add indexes on: jobs.source, jobs.posted_at, applications.status, applications.user_id, applications.job_id.</t>
  </si>
  <si>
    <t xml:space="preserve">All migrations run cleanly on a fresh database with npm run migrate:up. All foreign key constraints enforced and tested. EXPLAIN ANALYZE on common queries shows index scans not sequential scans. Rollback migration exists for every up migration. Schema matches the entity diagram in the README.</t>
  </si>
  <si>
    <t xml:space="preserve">Week 6</t>
  </si>
  <si>
    <t xml:space="preserve">T-07</t>
  </si>
  <si>
    <t xml:space="preserve">Clerk Auth - 3 Role Integration</t>
  </si>
  <si>
    <t xml:space="preserve">Integrate Clerk into the Node.js backend using @clerk/clerk-sdk-node. Configure three roles stored in Clerk publicMetadata: job_seeker, recruiter, admin. Write a requireRole(...roles) Express middleware that extracts the Clerk JWT, verifies it, reads the role from publicMetadata, and returns 403 if the role does not match. Set up a Clerk webhook endpoint at POST /webhooks/clerk that receives user.created and user.deleted events and syncs them to the RDS users table. Test all three role flows using separate Clerk accounts in dev.</t>
  </si>
  <si>
    <t xml:space="preserve">Requests without a valid Clerk JWT return 401. Requests with a valid JWT but wrong role return 403. Clerk webhook creates an RDS user record within 2 seconds of signup. All three role accounts can authenticate and reach their respective endpoints. JWT expiry is handled gracefully.</t>
  </si>
  <si>
    <t xml:space="preserve">T-08</t>
  </si>
  <si>
    <t xml:space="preserve">Node.js / Express API Scaffold</t>
  </si>
  <si>
    <t xml:space="preserve">Initialize the Express API project with TypeScript using ts-node for development and tsc for production builds. Project structure: src/routes/, src/middleware/, src/db/, src/services/, src/types/. Apply global middleware: helmet (security headers), cors (restrict to frontend domain), express-rate-limit (100 req/min per IP), express-validator (input validation), and a custom winston logger that writes JSON logs to stdout (CloudWatch picks these up). Create a database connection pool using the pg library with a max of 10 connections and automatic reconnect on disconnect. Add GET /health that returns DB connection status and uptime. Write a multi-stage Dockerfile: builder stage compiles TypeScript, production stage copies dist/ only — final image under 200MB.</t>
  </si>
  <si>
    <t xml:space="preserve">Docker image builds successfully and is under 200MB. GET /health returns 200 with DB connected status. All middleware applied and verifiable via response headers. TypeScript compiles with zero errors. JSON logs appear in CloudWatch log group. Rate limiter returns 429 after 100 requests per minute.</t>
  </si>
  <si>
    <t xml:space="preserve">T-09</t>
  </si>
  <si>
    <t xml:space="preserve">Jobs API - Full CRUD</t>
  </si>
  <si>
    <t xml:space="preserve">Implement all job listing endpoints with proper role enforcement: POST /jobs (recruiter only - create a direct listing), GET /jobs (public - full-text search via PostgreSQL tsvector on title+description, filter by location, remote boolean, salary_min, salary_max, source, posted within X days - paginated with limit/offset), GET /jobs/:id (public - full job details), PUT /jobs/:id (recruiter - can only edit own company's jobs, validates all fields), DELETE /jobs/:id (recruiter own jobs or admin any job). Use express-validator on all write endpoints. Write Jest integration tests using a test database for all 5 endpoints covering happy path, auth failures, and validation errors.</t>
  </si>
  <si>
    <t xml:space="preserve">All 5 endpoints return correct HTTP status codes. Full-text search returns relevant results. Recruiter cannot edit another company's job - returns 403. Pagination returns correct total count in response headers. All inputs validated - missing required fields return 400 with field-level error messages. Jest tests pass with zero failures.</t>
  </si>
  <si>
    <t xml:space="preserve">Week 7</t>
  </si>
  <si>
    <t xml:space="preserve">T-10</t>
  </si>
  <si>
    <t xml:space="preserve">Applications API</t>
  </si>
  <si>
    <t xml:space="preserve">Implement the application lifecycle: POST /applications (job_seeker only - apply to a job, prevent duplicate applications with unique constraint, return 409 on duplicate), GET /applications/me (job_seeker - own applications with full job details joined, sorted by applied_at desc), GET /jobs/:id/applications (recruiter - list all applicants for their specific job, includes applicant name/email and application status), PATCH /applications/:id/status (recruiter - update status through the pipeline: applied -&gt; screening -&gt; interview -&gt; offer -&gt; rejected). On every status change, publish an SNS message with the application_id, new_status, and user_id so n8n can pick it up and send an email notification to the job seeker.</t>
  </si>
  <si>
    <t xml:space="preserve">Duplicate application attempt returns 409 with clear message. Status transitions enforced - cannot skip stages. SNS message published on every status change and visible in CloudWatch logs. Recruiter cannot see applications for other companies' jobs. Jest tests cover duplicate prevention, status transitions, and role enforcement.</t>
  </si>
  <si>
    <t xml:space="preserve">SNS event triggers n8n workflow to email the job seeker</t>
  </si>
  <si>
    <t xml:space="preserve">   Phase 3 - AI Agent (LangChain + Claude)</t>
  </si>
  <si>
    <t xml:space="preserve">T-11</t>
  </si>
  <si>
    <t xml:space="preserve">AI Agent (LangChain + Claude)</t>
  </si>
  <si>
    <t xml:space="preserve">LangChain Shared Client Setup</t>
  </si>
  <si>
    <t xml:space="preserve">Create shared/langchain_client.py used by all Python Lambdas. Initialize ChatAnthropic with model=claude-sonnet-4-20250514, temperature=0 (deterministic for scoring consistency), max_tokens=1000. Implement a custom LangChain callback handler that logs to CloudWatch: prompt text, response text, total token count, prompt tokens, completion tokens, and wall-clock latency per call. Define the base JobMatch Pydantic model: score (int, 1-100), reasoning (str), strengths (List[str]), gaps (List[str]), recommended_keywords (List[str]). Write a pytest conftest.py fixture that patches ChatAnthropic with a mock returning a valid JobMatch so tests never hit the real API. Add to all Lambda requirements.txt: langchain&gt;=0.2, langchain-anthropic&gt;=0.1, pydantic&gt;=2.0.</t>
  </si>
  <si>
    <t xml:space="preserve">All Lambdas import langchain_client without errors. CloudWatch logs show a structured JSON entry for every AI call including token counts. Pytest fixture successfully mocks Claude - running the full test suite makes zero real API calls. JobMatch model raises ValidationError on invalid score values (outside 1-100).</t>
  </si>
  <si>
    <t xml:space="preserve">pip install langchain langchain-anthropic pydantic</t>
  </si>
  <si>
    <t xml:space="preserve">T-12</t>
  </si>
  <si>
    <t xml:space="preserve">Adzuna Fetcher Lambda</t>
  </si>
  <si>
    <t xml:space="preserve">Python Lambda triggered by an n8n HTTP Request node on a daily schedule. Reads Adzuna API credentials and search configuration (keywords, location, salary range, max pages) from AWS Secrets Manager. Calls the Adzuna Jobs API, handles pagination to fetch all results up to a configurable max_pages limit. Normalizes each listing to match the RDS jobs table schema. Uses PostgreSQL INSERT ... ON CONFLICT (adzuna_job_id) DO UPDATE to upsert listings without creating duplicates on re-runs. Returns a JSON summary payload: {fetched: N, inserted: N, updated: N, errors: N} that n8n reads to decide whether to proceed to the scoring step or send an error alert.</t>
  </si>
  <si>
    <t xml:space="preserve">Lambda executes without error when triggered by n8n HTTP node. Running it twice for the same data does not create duplicate rows - UPDATE count increases instead. Pagination fetches all pages up to max_pages. Return payload correctly counts inserts vs updates. Pytest tests mock the Adzuna API and RDS connection using responses and psycopg2 mocks.</t>
  </si>
  <si>
    <t xml:space="preserve">n8n HTTP node triggers this Lambda and reads its JSON response</t>
  </si>
  <si>
    <t xml:space="preserve">T-13</t>
  </si>
  <si>
    <t xml:space="preserve">Resume Upload - S3 Presigned URLs</t>
  </si>
  <si>
    <t xml:space="preserve">Add POST /resume/upload-url to the Express API that generates an S3 presigned PUT URL valid for 15 minutes, restricted to PDF and text/plain content types and max 5MB. After the client uploads directly to S3, the client calls POST /resume/confirm with the S3 key. The confirm endpoint: reads the object from S3, extracts text using pdfplumber (PDF) or plain read (txt), stores extracted text in RDS users.resume_text and the S3 URL in users.resume_url, then invokes the AI Scorer Lambda asynchronously for all unscored (user, job) pairs. Validate file type server-side using python-magic, not just file extension.</t>
  </si>
  <si>
    <t xml:space="preserve">Presigned URL generated and returned in under 300ms. Client can upload a PDF directly to S3 using the presigned URL. Confirm endpoint extracts text from a real PDF and stores it in RDS. Invalid file type detected and rejected with 400. AI scorer Lambda invoked asynchronously - confirm returns 200 without waiting for scoring to complete.</t>
  </si>
  <si>
    <t xml:space="preserve">T-14</t>
  </si>
  <si>
    <t xml:space="preserve">LangChain Job Scorer Lambda</t>
  </si>
  <si>
    <t xml:space="preserve">The core AI Lambda. Accepts a list of (user_id, job_id) pairs to score. For each pair: load resume_text from RDS users table, load job title + description from RDS jobs table. Build a LangChain chain using: PromptTemplate (instructions + resume + job description + JSON output format instructions), ChatAnthropic (claude-sonnet-4-20250514, temperature=0), PydanticOutputParser(pydantic_object=JobMatch). Store the result in DynamoDB keyed by user_id#job_id with a TTL of 30 days. Process in batches of 10 pairs to avoid Lambda timeout. Log token usage per pair to CloudWatch using the callback handler from the shared client. Handle LangChain output parsing errors gracefully - store a fallback score of 0 with an error flag.</t>
  </si>
  <si>
    <t xml:space="preserve">Returns a valid JobMatch Pydantic object for every input pair. DynamoDB record created with correct composite key and TTL timestamp. Token usage appears in CloudWatch for every pair. Batch of 50 pairs completes within the 15-minute Lambda timeout. Output parse errors are caught - error flag stored in DynamoDB instead of crashing. Pytest tests use the mocked LangChain fixture.</t>
  </si>
  <si>
    <t xml:space="preserve">High</t>
  </si>
  <si>
    <t xml:space="preserve">Week 8</t>
  </si>
  <si>
    <t xml:space="preserve">PydanticOutputParser eliminates all brittle regex string parsing</t>
  </si>
  <si>
    <t xml:space="preserve">T-15</t>
  </si>
  <si>
    <t xml:space="preserve">n8n Workflow - Daily Job Pipeline</t>
  </si>
  <si>
    <t xml:space="preserve">Build the main n8n automation workflow. Nodes in order: (1) Schedule Trigger - every day at 7:00 AM MST, (2) HTTP Request - POST to Adzuna Fetcher Lambda URL, read response JSON, (3) IF node - if errors &gt; 0 in fetcher response, route to error branch, (4) HTTP Request - POST to AI Scorer Lambda with all user IDs, (5) Code node - read DynamoDB scores for all users, group by user_id, sort by score desc, (6) Split In Batches - one execution per user, (7) Switch node - score &gt;= 80: high match branch, score 60-79: medium branch, score &lt; 60: skip branch, (8) High match branch: Slack node (post to #job-matches) + SES Email node (HTML digest), (9) Medium branch: SES Email node only, (10) Error branch: Slack alert to #alerts channel with error details. Enable workflow execution logging to the n8n database.</t>
  </si>
  <si>
    <t xml:space="preserve">Workflow runs end to end without errors on a manual trigger. Score routing sends emails only to correct score tiers. Slack message posts to correct channel. Error branch fires when Lambda returns errors &gt; 0. Execution history visible in n8n UI with pass/fail status per run.</t>
  </si>
  <si>
    <t xml:space="preserve">Week 9</t>
  </si>
  <si>
    <t xml:space="preserve">This single n8n workflow replaces the entire Notifier Lambda</t>
  </si>
  <si>
    <t xml:space="preserve">T-16</t>
  </si>
  <si>
    <t xml:space="preserve">n8n - Email &amp; Slack Templates</t>
  </si>
  <si>
    <t xml:space="preserve">Design the HTML email template for the daily job digest: branded header, user first name greeting, sections grouped by match tier (Top Matches / Good Matches), each job card showing title, company, location, salary range, match score badge (green/yellow), top 3 strengths as bullet points, and an Apply Now button that deep-links to the job detail page on the platform. Design the Slack Block Kit message: header block with date, section blocks for top 3 high-match jobs each showing title + company + score + one-line reasoning, and a View All Matches button. Store both templates as n8n workflow variables for easy editing without touching workflow nodes.</t>
  </si>
  <si>
    <t xml:space="preserve">HTML email renders correctly in Gmail, Apple Mail, and Outlook (tested via Litmus or manual). Apply Now buttons link to the correct job detail URL. Slack message renders with Block Kit formatting - not plain text. Match score badge color changes based on score tier. Templates are editable from the n8n variables panel without modifying workflow nodes.</t>
  </si>
  <si>
    <t xml:space="preserve">   Phase 4 - Frontend</t>
  </si>
  <si>
    <t xml:space="preserve">T-17</t>
  </si>
  <si>
    <t xml:space="preserve">Next.js Project Scaffold</t>
  </si>
  <si>
    <t xml:space="preserve">Initialize a Next.js 14 project with the App Router, TypeScript strict mode, Tailwind CSS, and shadcn/ui component library (pre-install: Button, Card, Badge, Table, Dialog, Input, Select, Tabs). Configure ClerkProvider wrapping the root layout. Create Next.js middleware.ts that protects all routes under /dashboard, /admin, /recruiter using Clerk auth - unauthenticated users redirected to /sign-in. Set up a shared API client using axios with a request interceptor that attaches the Clerk session token to every request. Write a multi-stage Dockerfile with next build --standalone output mode for a minimal ECS image.</t>
  </si>
  <si>
    <t xml:space="preserve">Next.js app starts in Docker with no errors. Sign-in and sign-out flow works end to end. Protected routes redirect to /sign-in when not authenticated. API client attaches Authorization header to every request. Docker image is under 300MB using standalone output. TypeScript compiles with zero errors in strict mode.</t>
  </si>
  <si>
    <t xml:space="preserve">Week 10</t>
  </si>
  <si>
    <t xml:space="preserve">T-18</t>
  </si>
  <si>
    <t xml:space="preserve">Job Seeker Dashboard - Listings &amp; Scores</t>
  </si>
  <si>
    <t xml:space="preserve">Build the primary job seeker experience. Jobs page: search bar (debounced full-text search), filter sidebar (remote toggle, location input, salary range slider, date posted select, source filter Adzuna/Direct), job cards in a responsive grid showing title, company, location, salary range, posted date, and the AI match score badge. Score badge is color-coded: green for &gt;= 80, yellow for 60-79, gray for &lt; 60 or no resume uploaded. If no resume, show a sticky banner prompting upload. Job detail page (modal or route): full job description, full LangChain JobMatch output displayed as: large score circle, reasoning paragraph, strengths checklist, gaps list, recommended keywords as chips. Apply button that calls the applications API.</t>
  </si>
  <si>
    <t xml:space="preserve">Jobs load on page mount with loading skeleton. Search results update after 300ms debounce. All filters apply correctly and combine. Match scores display only for users with uploaded resume. Job detail shows every field from the JobMatch Pydantic model. Apply button is disabled after application submitted. Mobile responsive at 375px width.</t>
  </si>
  <si>
    <t xml:space="preserve">The JobMatch Pydantic output display is the AI showcase for this project</t>
  </si>
  <si>
    <t xml:space="preserve">T-19</t>
  </si>
  <si>
    <t xml:space="preserve">Resume Upload UI</t>
  </si>
  <si>
    <t xml:space="preserve">Build the resume upload experience in the job seeker profile settings page. Components: drag-and-drop zone using react-dropzone (accepts PDF and .txt only, max 5MB, shows file name and size on drop), upload progress bar that tracks the S3 presigned URL PUT request progress using axios onUploadProgress, success state showing the extracted resume text preview (first 400 characters with a read more toggle), and a Re-score All Jobs button that calls POST /resume/confirm and triggers the scorer Lambda - button shows a spinner and disables during processing. If no resume is uploaded, show a prominent prompt banner on the jobs listing page.</t>
  </si>
  <si>
    <t xml:space="preserve">Drag and drop accepts valid files and rejects invalid types with an inline error message. Progress bar updates during upload. Resume text preview appears after successful upload. Re-score button invokes the Lambda and shows loading state. Banner disappears after resume is uploaded. Works on mobile (file picker opens on tap).</t>
  </si>
  <si>
    <t xml:space="preserve">T-20</t>
  </si>
  <si>
    <t xml:space="preserve">My Applications - Status Tracker</t>
  </si>
  <si>
    <t xml:space="preserve">Build the Applications page for job seekers. Shows a table of all submitted applications with columns: job title (links to job detail), company, applied date, current status pill (color coded: applied=gray, screening=blue, interview=yellow, offer=green, rejected=red), and last updated date. Clicking a row expands an inline detail panel showing the full status history as a vertical timeline (each transition shows the status, date, and who changed it). Add a summary stats row at the top: total applications, currently in interview, offers received. Table is sortable by applied date and status. Empty state with a Browse Jobs CTA if no applications yet.</t>
  </si>
  <si>
    <t xml:space="preserve">All applications load correctly for the authenticated user. Status pills display correct colors for each status value. Expanding a row shows the full status history timeline. Stats row shows accurate counts. Sorting by date and status works. Empty state renders correctly for new users.</t>
  </si>
  <si>
    <t xml:space="preserve">Week 11</t>
  </si>
  <si>
    <t xml:space="preserve">Status change emails come from n8n workflow triggered by SNS</t>
  </si>
  <si>
    <t xml:space="preserve">T-21</t>
  </si>
  <si>
    <t xml:space="preserve">Company / Recruiter Dashboard</t>
  </si>
  <si>
    <t xml:space="preserve">Build the recruiter experience. Post Job page: form with title (required), description (rich text editor using TipTap), location input, remote toggle, salary min/max number inputs, job type select (full-time/part-time/contract), expiry date picker. Form validates all required fields before submitting. My Jobs page: table of all posted jobs showing title, location, applicant count badge, posted date, status (active/expired), and Edit/Delete actions. Applicants page: accessed from a job row, shows applicant table with name, email, applied date, resume download link, and a status dropdown. Changing the dropdown value calls PATCH /applications/:id/status which publishes an SNS event that triggers n8n to email the applicant.</t>
  </si>
  <si>
    <t xml:space="preserve">Job form validates all required fields before submission. Rich text description saves and renders HTML correctly. Applicant count badge updates after new applications. Status dropdown change triggers API call and shows a success toast. Recruiter cannot see applicants for other companies' jobs. Empty state shown when no jobs posted yet.</t>
  </si>
  <si>
    <t xml:space="preserve">T-22</t>
  </si>
  <si>
    <t xml:space="preserve">Admin Dashboard</t>
  </si>
  <si>
    <t xml:space="preserve">Build the admin-only panel at /admin. Users page: paginated table of all users showing name, email, role badge, joined date, last active. Action buttons: Change Role (dropdown modal), Deactivate Account (confirmation dialog that calls Clerk API to disable the account). Companies page: table of all companies with name, website, job count, registered date, and an Approve/Reject toggle for new company registrations. Jobs page: full listing of all jobs across all sources with a Remove button (admin can remove any listing). Platform Stats page: cards for total users by role, total active jobs, total applications this week, daily AI scoring runs, and average match score across all users.</t>
  </si>
  <si>
    <t xml:space="preserve">Deactivating a user via the UI results in that user being unable to log in (tested manually). Role change reflects on the user's next page load. Stats cards show accurate counts from the API. Company approval/rejection changes a visible status field. Admin routes return 403 for non-admin users. All tables paginated at 25 rows per page.</t>
  </si>
  <si>
    <t xml:space="preserve">   Phase 5 - Polish &amp; Deploy</t>
  </si>
  <si>
    <t xml:space="preserve">T-23</t>
  </si>
  <si>
    <t xml:space="preserve">Polish &amp; Deploy</t>
  </si>
  <si>
    <t xml:space="preserve">Staging + Prod Environments</t>
  </si>
  <si>
    <t xml:space="preserve">Create Terraform tfvars files for staging and prod workspaces. Staging config: ECS desired count = 0 outside 9am-6pm MST using Application Auto Scaling scheduled actions, Aurora Serverless v2 min capacity = 0 ACU (scales to zero overnight). Prod config: ECS minimum 1 task at all times, Aurora min capacity = 1 ACU, RDS deletion protection = true, ECS deployment circuit breaker enabled. Configure separate n8n ECS tasks per environment pointing to their own RDS schemas. Add an environment indicator ENV_NAME variable that the Next.js frontend reads to display a colored environment banner (yellow for staging, none for prod). Tag every AWS resource with: Project, Environment, Owner, CostCenter.</t>
  </si>
  <si>
    <t xml:space="preserve">terraform workspace select staging &amp;&amp; terraform apply completes with no errors. ECS task count in staging = 0 at 9pm confirmed via AWS console. Aurora in staging shows 0 ACUs during off hours in CloudWatch metrics. Prod has deletion_protection = true on the RDS cluster. Environment banner shows in staging UI. Cost tags visible in AWS Cost Explorer within 24 hours.</t>
  </si>
  <si>
    <t xml:space="preserve">Aurora scaling to zero in staging saves approx $10-12/month</t>
  </si>
  <si>
    <t xml:space="preserve">T-24</t>
  </si>
  <si>
    <t xml:space="preserve">README + Architecture Diagram</t>
  </si>
  <si>
    <t xml:space="preserve">Write a comprehensive README.md. Sections: (1) Project Overview with a demo screenshot or GIF, (2) Architecture Diagram (draw.io PNG exported to repo root) showing all AWS services, data flows, and the n8n + LangChain layers, (3) Tech Stack table, (4) Local Development guide using docker-compose that spins up Next.js, Express, PostgreSQL, and n8n locally, (5) Environment Variables reference table listing every required variable with description and example value, (6) CI/CD Pipeline explanation with a workflow diagram, (7) n8n Workflow Setup guide with import instructions (export workflow JSON committed to repo), (8) LangChain + Claude Integration section explaining the Pydantic output model, (9) AWS Cost Breakdown table, (10) Roadmap section listing planned enhancements.</t>
  </si>
  <si>
    <t xml:space="preserve">README renders correctly on GitHub with no broken image links. Architecture diagram PNG is committed to the repo root and visible inline in the README. docker-compose up starts all services and the app loads at localhost:3000. Every environment variable is documented. n8n workflow JSON is importable from the file committed to the repo.</t>
  </si>
  <si>
    <t xml:space="preserve">Week 12</t>
  </si>
  <si>
    <t xml:space="preserve">T-25</t>
  </si>
  <si>
    <t xml:space="preserve">Cost Optimization &amp; Final QA</t>
  </si>
  <si>
    <t xml:space="preserve">Cost review: confirm Aurora Serverless v2 scales to 0 ACUs in staging during off-hours via CloudWatch metrics, right-size Lambda memory by checking p99 memory usage in CloudWatch and reducing where &lt; 50% is used, add S3 lifecycle rule to move resumes older than 90 days to S3 Intelligent-Tiering, set up an AWS Budgets alert at $40/month to catch runaway costs. Final QA: test all three role flows end to end in staging, manually trigger n8n daily pipeline and verify Slack + email output, run the GitHub Actions prod approval gate and smoke test all critical paths in prod.</t>
  </si>
  <si>
    <t xml:space="preserve">AWS Budgets alert created and visible in console. Aurora in staging shows 0 ACU metric during off hours. S3 lifecycle rule applied to resume bucket. Lambda memory right-sized based on CloudWatch data. All three role flows work in prod without errors. n8n pipeline completes on manual trigger with Slack message and email received.</t>
  </si>
  <si>
    <t xml:space="preserve">Total Tasks: 25</t>
  </si>
  <si>
    <t xml:space="preserve">Incident Response Agent - Project Plan</t>
  </si>
  <si>
    <t xml:space="preserve">Terraform Skeleton - Incident Agent</t>
  </si>
  <si>
    <t xml:space="preserve">Scaffold the Terraform project for the incident agent, reusing the shared OIDC provider and S3 state backend already created for the Career Platform. Create modules for: Lambda (normalizer, analyzer, config-api - three separate functions), API Gateway (HTTP API with a /webhook endpoint that receives CloudWatch SNS notifications and a /api route for the Config UI backend), DynamoDB (incidents table with composite key, config table, audit table stub), Secrets Manager (Slack webhook URL, SES credentials), ECS (n8n container, Next.js UI container), SNS (topic that CloudWatch alarms publish to). Use Terraform workspaces for dev/staging/prod. Every DynamoDB record schema includes an org_id field set to 'default' to support future multi-tenant expansion without a schema migration.</t>
  </si>
  <si>
    <t xml:space="preserve">terraform plan runs with zero errors. API Gateway endpoints are defined. All DynamoDB tables created with correct key schemas. org_id field present in all table attribute definitions. Shares the OIDC provider and S3 backend from Career Platform - does not create duplicates.</t>
  </si>
  <si>
    <t xml:space="preserve">Reuse OIDC setup from Career Platform - do not recreate it</t>
  </si>
  <si>
    <t xml:space="preserve">GitHub Actions - PR Checks</t>
  </si>
  <si>
    <t xml:space="preserve">Create .github/workflows/pr-checks.yml for the incident agent repo. Steps: (1) Pylint on all Lambda Python files with minimum score 8.0 - fail the job if below threshold, (2) Pytest for all Lambda handlers using moto to mock AWS services (DynamoDB, Secrets Manager, SNS, CloudWatch Logs) - zero real AWS calls, (3) Terraform fmt check, (4) Terraform validate, (5) Terraform plan against dev workspace posted as a PR comment. Add branch protection on main requiring all checks to pass.</t>
  </si>
  <si>
    <t xml:space="preserve">PR opened triggers all 5 steps. Pylint score below 8.0 fails the job with the score shown in the log. Pytest suite passes with zero real AWS calls - verified by checking that no AWS credentials are needed to run tests. Terraform plan comment appears on PR within 3 minutes.</t>
  </si>
  <si>
    <t xml:space="preserve">Use moto library for all AWS mocking in Pytest</t>
  </si>
  <si>
    <t xml:space="preserve">Create .github/workflows/deploy.yml triggered on merge to main. Steps: (1) Terraform apply to dev/staging workspace, (2) Package each Lambda (normalizer, analyzer, config-api) as separate zip files with their requirements installed, deploy each via aws lambda update-function-code, (3) Docker build for the Next.js Config UI, push to ECR tagged with commit SHA, force new ECS deployment. Add GitHub Environment 'production' with required reviewer approval gate. Post a Slack notification to #deployments channel on successful prod deploy.</t>
  </si>
  <si>
    <t xml:space="preserve">All three Lambda functions updated on merge to main. ECS shows new task revision for the UI container. Prod deployment pauses at the approval gate. Slack notification received in #deployments channel after successful prod deploy.</t>
  </si>
  <si>
    <t xml:space="preserve">Deploy n8n as an ECS Fargate container with EFS persistent storage. Configure n8n credentials: AWS SES node (SMTP), Slack node (webhook URL from Secrets Manager), HTTP Request node credentials for the Analyzer Lambda invoke URL. Set n8n to use a dedicated schema on the shared RDS instance for execution history. Configure the n8n webhook URL as the entry point - CloudWatch SNS will POST to this URL. Protect the n8n UI behind ALB with basic auth. The n8n webhook URL must be added to the SNS topic subscription so all CloudWatch alarm notifications hit n8n first for routing decisions.</t>
  </si>
  <si>
    <t xml:space="preserve">n8n UI accessible and password protected via ALB. n8n webhook URL is subscribed to the SNS topic - verified by checking SNS subscriptions in AWS console. Sending a test SNS message manually triggers the n8n webhook. Slack test message and SES test email send successfully from n8n credential test. Execution history persists after container restart.</t>
  </si>
  <si>
    <t xml:space="preserve">n8n owns all incident routing and notification - no Notifier Lambda needed</t>
  </si>
  <si>
    <t xml:space="preserve">   Phase 2 - Agent Lambdas</t>
  </si>
  <si>
    <t xml:space="preserve">Agent Lambdas</t>
  </si>
  <si>
    <t xml:space="preserve">CloudWatch Alarm + SNS Trigger</t>
  </si>
  <si>
    <t xml:space="preserve">Create a test CloudWatch metric alarm in Terraform (monitor CPUUtilization on a placeholder EC2 or a custom metric namespace) with threshold &gt; 80% for 1 datapoint. Configure it to publish to an SNS topic on ALARM state transition. Subscribe the SNS topic to: (1) the API Gateway /webhook endpoint (triggers the Normalizer Lambda), and (2) the n8n webhook URL (triggers the n8n routing workflow). Test the full chain by manually forcing the alarm state using: aws cloudwatch set-alarm-state --alarm-name test-alarm --state-value ALARM --state-reason testing. Verify the Normalizer Lambda is invoked by checking CloudWatch Logs.</t>
  </si>
  <si>
    <t xml:space="preserve">aws cloudwatch set-alarm-state command changes alarm state to ALARM. SNS topic receives the alarm notification. Both subscriptions (API Gateway and n8n webhook) receive the payload within 10 seconds. Normalizer Lambda invocation visible in CloudWatch Logs with the correct SNS payload. Alarm returns to OK state after setting it back.</t>
  </si>
  <si>
    <t xml:space="preserve">Week 3</t>
  </si>
  <si>
    <t xml:space="preserve">Use aws cloudwatch set-alarm-state --state-value ALARM for all testing</t>
  </si>
  <si>
    <t xml:space="preserve">Normalizer Lambda</t>
  </si>
  <si>
    <t xml:space="preserve">Python Lambda subscribed to the SNS topic via API Gateway. Parses the raw CloudWatch alarm SNS payload and transforms it into a standardized internal incident schema: incident_id (UUID v4 generated), org_id (hardcoded 'default' for v1), source ('cloudwatch'), severity (derived from: ALARM + metric type - CPU/memory/disk map to severity levels), title (human-readable from alarm name), description (alarm description + state reason), alarm_name, metric_name, namespace, threshold (float), current_value (float - extracted from state reason string), triggered_at (ISO8601 from StateChangeTime), region, account_id (from SNS ARN), raw_payload (full original dict stored as JSON string). Writes the incident to DynamoDB with status='open'. Returns incident_id in the response body.</t>
  </si>
  <si>
    <t xml:space="preserve">All CloudWatch payload fields correctly mapped to the internal schema. Severity correctly derived for CPU, memory, disk, and error rate alarm types. DynamoDB record created with status=open and org_id=default. incident_id UUID returned in response. Pytest tests cover all field mappings using real CloudWatch alarm payloads captured from AWS docs.</t>
  </si>
  <si>
    <t xml:space="preserve">org_id='default' on every record enables future multi-tenant v2 with no migration</t>
  </si>
  <si>
    <t xml:space="preserve">LangChain Shared Client - Incident Agent</t>
  </si>
  <si>
    <t xml:space="preserve">Create shared/langchain_client.py for the incident agent repo. Initialize ChatAnthropic with model=claude-sonnet-4-20250514, temperature=0. Define the IncidentAnalysis Pydantic model with fields: summary (str - 2-3 sentence plain English), root_cause (str - most likely cause based on logs), severity_assessment (str - assessment of blast radius), affected_services (List[str] - inferred from log content), fix_suggestions (List[str] - ordered list of remediation steps, most impactful first), estimated_impact (str - user-facing impact description), requires_immediate_action (bool - true if P1/P2 level). Set up the CloudWatch callback handler from the career platform shared client (reuse the pattern). Write pytest fixture that returns a mock IncidentAnalysis with all fields populated.</t>
  </si>
  <si>
    <t xml:space="preserve">IncidentAnalysis Pydantic model rejects invalid inputs - requires_immediate_action must be bool, fix_suggestions must be a list. Mock fixture returns a complete valid IncidentAnalysis. CloudWatch callback logs latency and token count. Model can be imported in all Lambda handlers without circular imports.</t>
  </si>
  <si>
    <t xml:space="preserve">Analyzer Lambda - LangChain + Claude</t>
  </si>
  <si>
    <t xml:space="preserve">The core AI Lambda. Receives an incident_id, loads the normalized incident from DynamoDB. Queries CloudWatch Logs Insights to retrieve the 100 most recent log lines from relevant log groups (configured in the user's config) within a time window of triggered_at minus 10 minutes to triggered_at plus 5 minutes. Builds and executes a two-part LangChain chain: (1) Log summarization chain - PromptTemplate summarizing raw logs into key events, (2) Analysis chain - PromptTemplate with alarm details + log summary + output format instructions, ChatAnthropic, PydanticOutputParser returning IncidentAnalysis. Updates the DynamoDB incident record with all IncidentAnalysis fields and sets status='analyzed'. Returns the full IncidentAnalysis JSON for n8n to use in notifications. Handle the case where no logs are found - still run the analysis with just the alarm data.</t>
  </si>
  <si>
    <t xml:space="preserve">CloudWatch Logs Insights query returns logs for the correct time window. LangChain chain returns a valid IncidentAnalysis Pydantic object. DynamoDB record updated with all analysis fields and status=analyzed. Handles empty log results gracefully - analysis runs with alarm data only. Pytest tests mock CloudWatch Logs Insights and LangChain client - no real API calls. Token usage logged to CloudWatch per invocation.</t>
  </si>
  <si>
    <t xml:space="preserve">Week 4</t>
  </si>
  <si>
    <t xml:space="preserve">The two-chain approach (summarize logs first, then analyze) improves Claude output quality</t>
  </si>
  <si>
    <t xml:space="preserve">n8n Workflow - Incident Router</t>
  </si>
  <si>
    <t xml:space="preserve">Build the incident routing workflow in n8n. Nodes: (1) Webhook Trigger - listens on the n8n webhook URL subscribed to SNS, (2) HTTP Request - POST to the Analyzer Lambda with the incident_id extracted from the SNS payload, wait for the IncidentAnalysis response (set timeout to 60 seconds), (3) Set node - extract key fields from the IncidentAnalysis response (requires_immediate_action, severity, title, summary, fix_suggestions[0]), (4) IF node - requires_immediate_action = true routes to the urgent branch, false routes to the standard branch, (5) Urgent branch: Slack node posts formatted Block Kit card to #incidents + Email node sends SES email to the on-call address from config, (6) Standard branch: Email node sends SES email to the team digest address only, (7) HTTP Request - PATCH incident status to 'notified' in DynamoDB via Config API Lambda, (8) Error catch branch on all nodes - Slack alert to #alerts-meta if any node fails.</t>
  </si>
  <si>
    <t xml:space="preserve">Webhook receives SNS payload and extracts incident_id correctly. Analyzer Lambda called and response parsed. Routing branch taken based on requires_immediate_action value. Slack Block Kit card posted with correct severity color. Email received at correct address for both branches. Incident status updated to notified in DynamoDB. Error branch fires when Analyzer Lambda returns a 500 status.</t>
  </si>
  <si>
    <t xml:space="preserve">Test by posting a raw SNS payload JSON directly to the n8n webhook URL</t>
  </si>
  <si>
    <t xml:space="preserve">n8n - Slack &amp; Email Templates</t>
  </si>
  <si>
    <t xml:space="preserve">Design and implement the notification templates. Slack Block Kit incident card: header section with severity emoji (red circle for critical, orange for high, yellow for medium, blue for low) + incident title, context block with source/triggered_at/account_id, section with AI summary paragraph, section with root cause, numbered list of top 3 fix suggestions, affected services as inline code chips, a View Incident button (link to dashboard /incidents/:id). HTML email template: same sections but with a branded header, full fix suggestions list, estimated impact section, and a prominent CTA button. Store both as n8n workflow variables named SLACK_TEMPLATE and EMAIL_TEMPLATE for easy editing from the n8n UI without touching workflow nodes.</t>
  </si>
  <si>
    <t xml:space="preserve">Slack card renders correctly with Block Kit formatting (not plain text fallback). Severity emoji matches the incident severity level. View Incident button URL is dynamically constructed with the correct incident_id. Email renders in Gmail and Apple Mail without broken layout. Both templates are stored as workflow variables and editable from n8n UI.</t>
  </si>
  <si>
    <t xml:space="preserve">Config Loader - shared/config_loader.py</t>
  </si>
  <si>
    <t xml:space="preserve">Write shared/config_loader.py used by all Lambdas to abstract the config source. Function load_config(): checks the CONFIG_SOURCE environment variable - if value is 'env', reads all config from os.environ (for self-hosters using a .env file); if value is 'dynamodb', reads from the DynamoDB config table keyed by org_id='default'. Returns a typed Python dataclass Config with fields: slack_enabled (bool), slack_webhook_url (str), email_enabled (bool), email_recipients (List[str]), cloudwatch_log_groups (List[str]). Sensitive values (webhook URL, email credentials) are always retrieved from AWS Secrets Manager via a get_secret(key) helper regardless of CONFIG_SOURCE. Write pytest tests for both config sources using moto to mock DynamoDB and the Secrets Manager mock for secret values.</t>
  </si>
  <si>
    <t xml:space="preserve">load_config() returns a valid Config dataclass for both CONFIG_SOURCE='env' and CONFIG_SOURCE='dynamodb'. get_secret() retrieves values correctly from mocked Secrets Manager. All Lambdas call load_config() at startup with no import errors. Pytest tests cover both config sources with zero real AWS calls. Missing required config values raise a descriptive ConfigError exception.</t>
  </si>
  <si>
    <t xml:space="preserve">This is the self-hosters vs UI users switch point</t>
  </si>
  <si>
    <t xml:space="preserve">   Phase 3 - Config UI</t>
  </si>
  <si>
    <t xml:space="preserve">Config UI</t>
  </si>
  <si>
    <t xml:space="preserve">Next.js Scaffold + Clerk Auth</t>
  </si>
  <si>
    <t xml:space="preserve">Initialize Next.js 14 with App Router, TypeScript strict mode, Tailwind CSS, and shadcn/ui. Configure Clerk with 2 roles stored in publicMetadata: admin (access to all pages including settings, user management, and config) and engineer (access to incident dashboard and incident actions only - no settings or admin pages). Set up Next.js middleware.ts to protect all routes and enforce role-based redirects: engineers hitting /admin or /settings are redirected to /dashboard. Create a shared API client using axios that reads the API Gateway base URL from env and attaches the Clerk JWT to every request. Write a multi-stage Dockerfile for ECS deployment.</t>
  </si>
  <si>
    <t xml:space="preserve">Clerk sign-in works for both admin and engineer accounts. Engineer account redirects to /dashboard when navigating to /admin. API client attaches Authorization header on every request - verifiable in browser network tab. Docker image builds and runs successfully. TypeScript compiles with zero errors.</t>
  </si>
  <si>
    <t xml:space="preserve">Week 5</t>
  </si>
  <si>
    <t xml:space="preserve">Config API Lambda</t>
  </si>
  <si>
    <t xml:space="preserve">Python Lambda behind API Gateway serving as the backend for the Config UI. Implement these endpoints: GET /config (returns current config from DynamoDB config table, masks Secrets Manager values - returns only whether they are set, not the actual values), POST /config (saves cloudwatch SNS ARN + log groups + output toggles to DynamoDB, stores webhook URLs and email credentials in Secrets Manager keyed by org_id), POST /config/test/slack (retrieves the webhook URL from Secrets Manager, sends a test Slack message 'Test from Incident Agent - configuration verified', returns success/failure), POST /config/test/email (sends a test SES email to the first configured recipient), GET /users (admin role only - calls Clerk Backend API to list all users in the organization with their roles), POST /users/invite (admin only - calls Clerk Backend API to send an email invitation to a new user with a specified role).</t>
  </si>
  <si>
    <t xml:space="preserve">GET /config never returns raw secret values - only boolean indicating whether they are set. POST /config saves to DynamoDB and Secrets Manager successfully. Test endpoints send real messages - verifiable by receiving the Slack/email message. Engineer role receives 403 on /users endpoints. Pytest tests mock DynamoDB, Secrets Manager, Slack, and Clerk APIs.</t>
  </si>
  <si>
    <t xml:space="preserve">Setup Flow - CloudWatch Config Page</t>
  </si>
  <si>
    <t xml:space="preserve">Build the onboarding Step 1 page at /setup/cloudwatch. Form fields: SNS Topic ARN text input (validate format with regex: arn:aws:sns:[region]:[account]:[name]), AWS Region select dropdown (populated from a hardcoded list of AWS regions), CloudWatch Log Groups multi-input (add row button, each row is a text input for a log group path like /aws/lambda/my-function, with a remove X button). On form save: POST /config with the cloudwatch settings. After save, display a code block with the exact AWS CLI command the user needs to run to subscribe their SNS topic to the n8n webhook URL - make this copyable with a copy-to-clipboard button. Show a green success banner on valid save or a red error banner on API failure.</t>
  </si>
  <si>
    <t xml:space="preserve">ARN format validation rejects malformed ARNs before submission. Multiple log groups can be added and removed dynamically. POST /config called correctly on form save. Copyable CLI command shows the correct n8n webhook URL. Success/error banners render correctly. Form values persist after page refresh (loaded from GET /config).</t>
  </si>
  <si>
    <t xml:space="preserve">Setup Flow - Notification Outputs Page</t>
  </si>
  <si>
    <t xml:space="preserve">Build the onboarding Step 2 page at /setup/notifications. Two output toggle cards side by side: Slack card (toggle switch, when enabled reveals: Webhook URL input, Channel Name input, Test Connection button) and Email card (toggle switch, when enabled reveals: Recipients multi-input field - add/remove email addresses, Test Connection button). Test Connection buttons call POST /config/test/slack and POST /config/test/email respectively and show an inline loading spinner while waiting, then a green checkmark with 'Message sent!' or a red X with the error message. On Save Configuration: POST /config with all output settings. Show a completion summary page after save listing all enabled outputs with green checkmarks.</t>
  </si>
  <si>
    <t xml:space="preserve">Toggling Slack off hides the webhook URL and channel fields. Test Slack button sends a real Slack message to the configured webhook and shows success within 5 seconds. Test Email button sends a real SES email. Webhook URL value not returned from GET /config - only shows as a masked input. Save button disabled until at least one output is configured. Completion page shows correct enabled outputs.</t>
  </si>
  <si>
    <t xml:space="preserve">   Phase 4 - Incident Dashboard</t>
  </si>
  <si>
    <t xml:space="preserve">Incident Dashboard</t>
  </si>
  <si>
    <t xml:space="preserve">Incident List View</t>
  </si>
  <si>
    <t xml:space="preserve">Build the main incidents dashboard at /dashboard. Components: (1) Stats row - four cards: Open Incidents (count), Acknowledged (count), Resolved Today (count), Mean Time to Acknowledge in minutes (calculated from triggered_at to first acknowledge action - display as N/A if no acknowledged incidents). (2) Filter bar - status filter tabs (All / Open / Acknowledged / In Progress / Resolved), severity dropdown filter (All / Critical / High / Medium / Low), date range picker, search input for incident title. (3) Incidents table - columns: severity badge (colored circle), title, source, status pill, triggered at (relative time like '2 hours ago' with full timestamp on hover), notified via (Slack and/or Email icons), assigned to (avatar or Unassigned). Pagination at 20 rows per page. Auto-refresh every 60 seconds using SWR or React Query without a full page reload.</t>
  </si>
  <si>
    <t xml:space="preserve">Stats cards show accurate counts from the DynamoDB query. MTTA calculation correct for incidents with acknowledge events. All four filters work independently and in combination. Auto-refresh updates the incident list without resetting filter state. Table renders on mobile with horizontal scroll. Empty state shown when no incidents match filters.</t>
  </si>
  <si>
    <t xml:space="preserve">Incident Detail View</t>
  </si>
  <si>
    <t xml:space="preserve">Build the incident detail page at /incidents/:id. Layout sections: (1) Header bar - incident title, severity badge, status pill, source tag, triggered_at timestamp, last updated. If requires_immediate_action is true, show a red IMMEDIATE ACTION REQUIRED banner at the top. (2) AI Analysis panel - card with: Summary paragraph, Root Cause section, Estimated Impact, Affected Services as code chip tags, Fix Suggestions as a numbered ordered list (most impactful first), Severity Assessment paragraph. (3) Incident Details collapsible section - alarm name, metric name, namespace, threshold vs current value shown as a comparison bar, AWS region, account ID. (4) Activity Timeline - chronological list of all events: incident created, status changes (who changed it + timestamp), comments (user avatar, name, comment text, timestamp), re-analysis events. Load incident data from GET /incidents/:id via the Config API Lambda.</t>
  </si>
  <si>
    <t xml:space="preserve">All IncidentAnalysis fields displayed correctly. requires_immediate_action banner shows only when true. Affected services render as code chips. Fix suggestions numbered list maintains order from Pydantic model. Activity timeline events in correct chronological order. Collapsible raw details section expands and collapses. Page loads in under 1.5 seconds on a cold start.</t>
  </si>
  <si>
    <t xml:space="preserve">Every IncidentAnalysis field from the Pydantic model should be visible on this page</t>
  </si>
  <si>
    <t xml:space="preserve">Incident Actions - Full Lifecycle</t>
  </si>
  <si>
    <t xml:space="preserve">Add all incident action capabilities to the detail page. (1) Acknowledge button (engineer+ role) - visible only when status is 'open', clicking calls PATCH /incidents/:id/status with {status: 'acknowledged'}, records acknowledge_at and acknowledged_by user_id in DynamoDB, button replaced by status pill after action. (2) Assign dropdown (engineer+) - dropdown of all team members fetched from GET /users, selecting a member calls PATCH /incidents/:id/assign, updates assignee field in DynamoDB and adds event to activity timeline. (3) Add Comment form - textarea with 500 character limit and Submit button, calls POST /incidents/:id/comments, new comment appears in activity timeline immediately via optimistic UI update. (4) Re-analyze button (engineer+) - invokes the Analyzer Lambda again with the same incident_id, shows a loading spinner on the AI Analysis panel during processing (poll for status change), updates the panel with new results when complete. (5) Resolve button (engineer+) - visible when status is acknowledged or in_progress, calls PATCH /incidents/:id/status with {status: 'resolved'}, stores resolved_at and calculates resolution_time_minutes = (resolved_at - triggered_at) / 60.</t>
  </si>
  <si>
    <t xml:space="preserve">Each action calls the correct API endpoint and updates DynamoDB correctly. Acknowledge button disappears after clicking and status pill updates. Assign dropdown shows all team members. New comment appears immediately via optimistic update. Re-analyze shows spinner and updates AI panel with new Claude output. Resolution time stored correctly in DynamoDB. All actions require engineer or admin role - viewer gets read-only UI with no action buttons.</t>
  </si>
  <si>
    <t xml:space="preserve">Re-analyze is the most impressive demo feature - lead with this in interviews</t>
  </si>
  <si>
    <t xml:space="preserve">Admin Panel - User Management &amp; Settings</t>
  </si>
  <si>
    <t xml:space="preserve">Build the admin-only area. Team Members page at /admin/users: table of all users from GET /users (name, email, role badge, invite status pending/active). Invite button opens a modal with email input and role select (admin/engineer) - clicking invite calls POST /users/invite which sends a Clerk invitation email - modal shows success with the invited email address. Role change: inline dropdown in the table that calls a PATCH /users/:id/role endpoint updating Clerk publicMetadata. Deactivate: action button with confirmation dialog that disables the Clerk account. Settings page at /admin/settings: shows current CloudWatch config (SNS ARN, log groups) and notification outputs (Slack enabled/channel, email enabled/recipients) with an Edit button that navigates back to the setup flow. Audit Log page at /admin/audit: renders a table with a 'Coming in v2' overlay banner - the table structure is built but populated with placeholder rows.</t>
  </si>
  <si>
    <t xml:space="preserve">Invite flow sends a real Clerk invitation email - verifiable by receiving the email. Deactivated user cannot log in - tested manually. Role change reflects on the user's next JWT refresh. Settings page shows current config from GET /config. Audit log page renders with v2 banner overlay. All /admin routes return 403 for engineer role.</t>
  </si>
  <si>
    <t xml:space="preserve">Audit log is stubbed with a v2 banner - do not skip building the UI skeleton</t>
  </si>
  <si>
    <t xml:space="preserve">Staging + Prod + v2 Stubs</t>
  </si>
  <si>
    <t xml:space="preserve">Infrastructure: create staging (ECS scales to 0 at 8pm MST, Aurora min 0 ACU) and prod (always-on, deletion protection, circuit breaker) Terraform workspace configs. v2 architecture stubs baked into the codebase: (1) org_id='default' present on every DynamoDB record across all tables - incidents, config, comments, audit - verified by checking at least 5 records in dev, (2) shared/audit.py with a fully implemented log_action(user_id, action, resource_id, org_id) function that writes to the DynamoDB audit table with all fields - function works, UI is v2, (3) shared/roles.py ROLES dict containing all four planned roles: admin, engineer, team_owner, viewer with their permission lists - only admin and engineer are enforced in middleware in v1 but all four are defined, (4) Export the n8n incident router workflow as JSON and commit to the repo under /n8n/incident-router-workflow.json for easy import by new users.</t>
  </si>
  <si>
    <t xml:space="preserve">org_id='default' present on all DynamoDB records in dev - verified via aws dynamodb scan. audit.py log_action writes a record to the audit DynamoDB table without errors. ROLES dict contains all 4 roles. n8n workflow JSON file committed to repo and importable via n8n UI File &gt; Import from file. Staging ECS scales to 0 at 8pm confirmed.</t>
  </si>
  <si>
    <t xml:space="preserve">These stubs are the interview story: designed for SaaS, shipped as a focused tool</t>
  </si>
  <si>
    <t xml:space="preserve">Write the full README.md. Required sections: (1) Project overview with a dashboard screenshot showing an incident with AI analysis, (2) Architecture diagram (draw.io PNG committed to repo) showing the complete flow: CloudWatch alarm -&gt; SNS -&gt; API Gateway -&gt; Normalizer Lambda -&gt; DynamoDB -&gt; n8n webhook -&gt; Analyzer Lambda (LangChain + Claude) -&gt; DynamoDB update -&gt; n8n routing -&gt; Slack/Email, (3) Self-Hosting Guide using .env config (CONFIG_SOURCE=env) with docker-compose.yml that runs the Next.js UI and all three Lambdas locally using AWS SAM or localstack, (4) Cloud Deployment Guide for AWS with step-by-step Terraform setup, (5) n8n Workflow Import section with instructions to import /n8n/incident-router-workflow.json, (6) LangChain + Claude Integration section explaining the two-chain analysis approach and IncidentAnalysis Pydantic model, (7) v2 Roadmap section listing: multi-tenant orgs, audit log UI, API keys, PagerDuty/Datadog input sources, Teams notifications.</t>
  </si>
  <si>
    <t xml:space="preserve">Architecture diagram accurately reflects the built system. Self-hosting docker-compose.yml starts all services at localhost:3000. n8n workflow JSON imports cleanly via n8n UI. v2 Roadmap section present and describes realistic next features. README renders on GitHub with no broken images or links.</t>
  </si>
  <si>
    <t xml:space="preserve">v2 roadmap is a 10-minute interview talking point - write it thoughtfully</t>
  </si>
  <si>
    <t xml:space="preserve">Final QA &amp; Production Deploy</t>
  </si>
  <si>
    <t xml:space="preserve">Full end-to-end QA in staging: (1) Force CloudWatch alarm to ALARM state using AWS CLI, verify full chain: SNS -&gt; API Gateway -&gt; Normalizer Lambda (check DynamoDB for incident record with status=open) -&gt; n8n webhook triggered -&gt; Analyzer Lambda invoked (check DynamoDB for status=analyzed with IncidentAnalysis fields populated) -&gt; n8n routing -&gt; Slack message received + SES email received. (2) Log in as engineer: acknowledge incident, assign to self, add comment, click re-analyze (verify AI panel updates with new output), resolve incident (verify resolution_time_minutes stored). (3) Log in as admin: invite a new user, change role, deactivate user (verify they cannot log in). (4) Test .env self-hosting config with docker-compose locally. (5) Approve GitHub Actions prod gate and run the same smoke test in prod.</t>
  </si>
  <si>
    <t xml:space="preserve">Full chain test completes end to end in under 3 minutes in staging. Slack message and email both received with correct incident data. All five incident actions update DynamoDB correctly - verified via AWS console. Admin flows work as described. Self-hosting docker-compose test passes locally. Prod smoke test completes with no errors.</t>
  </si>
  <si>
    <t xml:space="preserve">Total Tasks: 22</t>
  </si>
</sst>
</file>

<file path=xl/styles.xml><?xml version="1.0" encoding="utf-8"?>
<styleSheet xmlns="http://schemas.openxmlformats.org/spreadsheetml/2006/main">
  <numFmts count="1">
    <numFmt numFmtId="164" formatCode="General"/>
  </numFmts>
  <fonts count="25">
    <font>
      <sz val="11"/>
      <color theme="1"/>
      <name val="Calibri"/>
      <family val="2"/>
      <charset val="1"/>
    </font>
    <font>
      <sz val="10"/>
      <name val="Arial"/>
      <family val="0"/>
    </font>
    <font>
      <sz val="10"/>
      <name val="Arial"/>
      <family val="0"/>
    </font>
    <font>
      <sz val="10"/>
      <name val="Arial"/>
      <family val="0"/>
    </font>
    <font>
      <b val="true"/>
      <sz val="15"/>
      <color rgb="FFCDD6F4"/>
      <name val="Arial"/>
      <family val="0"/>
      <charset val="1"/>
    </font>
    <font>
      <b val="true"/>
      <sz val="9"/>
      <color rgb="FF1E1E2E"/>
      <name val="Arial"/>
      <family val="0"/>
      <charset val="1"/>
    </font>
    <font>
      <sz val="9"/>
      <color rgb="FF89B4FA"/>
      <name val="Arial"/>
      <family val="0"/>
      <charset val="1"/>
    </font>
    <font>
      <sz val="9"/>
      <color rgb="FFCBA6F7"/>
      <name val="Arial"/>
      <family val="0"/>
      <charset val="1"/>
    </font>
    <font>
      <b val="true"/>
      <sz val="9"/>
      <color rgb="FFA6E3A1"/>
      <name val="Arial"/>
      <family val="0"/>
      <charset val="1"/>
    </font>
    <font>
      <b val="true"/>
      <sz val="8"/>
      <color rgb="FFF9E2AF"/>
      <name val="Arial"/>
      <family val="0"/>
      <charset val="1"/>
    </font>
    <font>
      <sz val="8"/>
      <color rgb="FFBAC2DE"/>
      <name val="Arial"/>
      <family val="0"/>
      <charset val="1"/>
    </font>
    <font>
      <i val="true"/>
      <sz val="8"/>
      <color rgb="FF585B70"/>
      <name val="Arial"/>
      <family val="0"/>
      <charset val="1"/>
    </font>
    <font>
      <b val="true"/>
      <sz val="13"/>
      <color rgb="FF89B4FA"/>
      <name val="Arial"/>
      <family val="0"/>
      <charset val="1"/>
    </font>
    <font>
      <b val="true"/>
      <sz val="9"/>
      <color rgb="FFCDD6F4"/>
      <name val="Arial"/>
      <family val="0"/>
      <charset val="1"/>
    </font>
    <font>
      <b val="true"/>
      <sz val="8"/>
      <color rgb="FF89B4FA"/>
      <name val="Arial"/>
      <family val="0"/>
      <charset val="1"/>
    </font>
    <font>
      <sz val="8"/>
      <color rgb="FF585B70"/>
      <name val="Arial"/>
      <family val="0"/>
      <charset val="1"/>
    </font>
    <font>
      <sz val="8"/>
      <color rgb="FFA6E3A1"/>
      <name val="Arial"/>
      <family val="0"/>
      <charset val="1"/>
    </font>
    <font>
      <b val="true"/>
      <sz val="8"/>
      <color rgb="FF1E1E2E"/>
      <name val="Arial"/>
      <family val="0"/>
      <charset val="1"/>
    </font>
    <font>
      <sz val="8"/>
      <color rgb="FF89DCEB"/>
      <name val="Arial"/>
      <family val="0"/>
      <charset val="1"/>
    </font>
    <font>
      <b val="true"/>
      <sz val="8"/>
      <color rgb="FFCDD6F4"/>
      <name val="Arial"/>
      <family val="0"/>
      <charset val="1"/>
    </font>
    <font>
      <b val="true"/>
      <sz val="9"/>
      <color rgb="FF89B4FA"/>
      <name val="Arial"/>
      <family val="0"/>
      <charset val="1"/>
    </font>
    <font>
      <b val="true"/>
      <sz val="9"/>
      <color rgb="FFF9E2AF"/>
      <name val="Arial"/>
      <family val="0"/>
      <charset val="1"/>
    </font>
    <font>
      <b val="true"/>
      <sz val="13"/>
      <color rgb="FFCBA6F7"/>
      <name val="Arial"/>
      <family val="0"/>
      <charset val="1"/>
    </font>
    <font>
      <b val="true"/>
      <sz val="8"/>
      <color rgb="FFCBA6F7"/>
      <name val="Arial"/>
      <family val="0"/>
      <charset val="1"/>
    </font>
    <font>
      <b val="true"/>
      <sz val="9"/>
      <color rgb="FFCBA6F7"/>
      <name val="Arial"/>
      <family val="0"/>
      <charset val="1"/>
    </font>
  </fonts>
  <fills count="13">
    <fill>
      <patternFill patternType="none"/>
    </fill>
    <fill>
      <patternFill patternType="gray125"/>
    </fill>
    <fill>
      <patternFill patternType="solid">
        <fgColor rgb="FF1E1E2E"/>
        <bgColor rgb="FF252535"/>
      </patternFill>
    </fill>
    <fill>
      <patternFill patternType="solid">
        <fgColor rgb="FFCDD6F4"/>
        <bgColor rgb="FFBAC2DE"/>
      </patternFill>
    </fill>
    <fill>
      <patternFill patternType="solid">
        <fgColor rgb="FF2A2A3E"/>
        <bgColor rgb="FF252535"/>
      </patternFill>
    </fill>
    <fill>
      <patternFill patternType="solid">
        <fgColor rgb="FF252535"/>
        <bgColor rgb="FF2A2A3E"/>
      </patternFill>
    </fill>
    <fill>
      <patternFill patternType="solid">
        <fgColor rgb="FF89B4FA"/>
        <bgColor rgb="FFBAC2DE"/>
      </patternFill>
    </fill>
    <fill>
      <patternFill patternType="solid">
        <fgColor rgb="FF313244"/>
        <bgColor rgb="FF2A2A3E"/>
      </patternFill>
    </fill>
    <fill>
      <patternFill patternType="solid">
        <fgColor rgb="FFA6E3A1"/>
        <bgColor rgb="FF89DCEB"/>
      </patternFill>
    </fill>
    <fill>
      <patternFill patternType="solid">
        <fgColor rgb="FF45475A"/>
        <bgColor rgb="FF585B70"/>
      </patternFill>
    </fill>
    <fill>
      <patternFill patternType="solid">
        <fgColor rgb="FFF9E2AF"/>
        <bgColor rgb="FFFFFF99"/>
      </patternFill>
    </fill>
    <fill>
      <patternFill patternType="solid">
        <fgColor rgb="FFF38BA8"/>
        <bgColor rgb="FFFF99CC"/>
      </patternFill>
    </fill>
    <fill>
      <patternFill patternType="solid">
        <fgColor rgb="FFCBA6F7"/>
        <bgColor rgb="FFBAC2DE"/>
      </patternFill>
    </fill>
  </fills>
  <borders count="3">
    <border diagonalUp="false" diagonalDown="false">
      <left/>
      <right/>
      <top/>
      <bottom/>
      <diagonal/>
    </border>
    <border diagonalUp="false" diagonalDown="false">
      <left style="thin">
        <color rgb="FF45475A"/>
      </left>
      <right style="thin">
        <color rgb="FF45475A"/>
      </right>
      <top style="thin">
        <color rgb="FF45475A"/>
      </top>
      <bottom style="thin">
        <color rgb="FF45475A"/>
      </bottom>
      <diagonal/>
    </border>
    <border diagonalUp="false" diagonalDown="false">
      <left style="thin">
        <color rgb="FF45475A"/>
      </left>
      <right/>
      <top style="thin">
        <color rgb="FF45475A"/>
      </top>
      <bottom style="thin">
        <color rgb="FF45475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9" fillId="5" borderId="1" xfId="0" applyFont="true" applyBorder="true" applyAlignment="true" applyProtection="false">
      <alignment horizontal="center" vertical="center" textRotation="0" wrapText="true" indent="0" shrinkToFit="false"/>
      <protection locked="true" hidden="false"/>
    </xf>
    <xf numFmtId="164" fontId="10" fillId="5" borderId="2" xfId="0" applyFont="true" applyBorder="true" applyAlignment="true" applyProtection="false">
      <alignment horizontal="left" vertical="top" textRotation="0" wrapText="tru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10" fillId="4" borderId="2" xfId="0" applyFont="true" applyBorder="true" applyAlignment="true" applyProtection="false">
      <alignment horizontal="left" vertical="top" textRotation="0" wrapText="true" indent="0" shrinkToFit="false"/>
      <protection locked="true" hidden="false"/>
    </xf>
    <xf numFmtId="164" fontId="11" fillId="2" borderId="0" xfId="0" applyFont="true" applyBorder="true" applyAlignment="true" applyProtection="false">
      <alignment horizontal="center" vertical="center" textRotation="0" wrapText="true" indent="0" shrinkToFit="false"/>
      <protection locked="true" hidden="false"/>
    </xf>
    <xf numFmtId="164" fontId="12" fillId="2" borderId="0" xfId="0" applyFont="true" applyBorder="true" applyAlignment="true" applyProtection="false">
      <alignment horizontal="center" vertical="center" textRotation="0" wrapText="true" indent="0" shrinkToFit="false"/>
      <protection locked="true" hidden="false"/>
    </xf>
    <xf numFmtId="164" fontId="5" fillId="6" borderId="1" xfId="0" applyFont="true" applyBorder="true" applyAlignment="true" applyProtection="false">
      <alignment horizontal="center" vertical="center" textRotation="0" wrapText="true" indent="0" shrinkToFit="false"/>
      <protection locked="true" hidden="false"/>
    </xf>
    <xf numFmtId="164" fontId="13" fillId="7" borderId="1" xfId="0" applyFont="true" applyBorder="true" applyAlignment="true" applyProtection="false">
      <alignment horizontal="left" vertical="center" textRotation="0" wrapText="false" indent="0" shrinkToFit="false"/>
      <protection locked="true" hidden="false"/>
    </xf>
    <xf numFmtId="164" fontId="14" fillId="5" borderId="1" xfId="0" applyFont="true" applyBorder="true" applyAlignment="true" applyProtection="false">
      <alignment horizontal="center" vertical="center" textRotation="0" wrapText="true" indent="0" shrinkToFit="false"/>
      <protection locked="true" hidden="false"/>
    </xf>
    <xf numFmtId="164" fontId="15" fillId="5" borderId="1" xfId="0" applyFont="true" applyBorder="true" applyAlignment="true" applyProtection="false">
      <alignment horizontal="center" vertical="center" textRotation="0" wrapText="true" indent="0" shrinkToFit="false"/>
      <protection locked="true" hidden="false"/>
    </xf>
    <xf numFmtId="164" fontId="13" fillId="5" borderId="1" xfId="0" applyFont="true" applyBorder="true" applyAlignment="true" applyProtection="false">
      <alignment horizontal="left" vertical="top" textRotation="0" wrapText="true" indent="0" shrinkToFit="false"/>
      <protection locked="true" hidden="false"/>
    </xf>
    <xf numFmtId="164" fontId="10" fillId="5" borderId="1" xfId="0" applyFont="true" applyBorder="true" applyAlignment="true" applyProtection="false">
      <alignment horizontal="left" vertical="top" textRotation="0" wrapText="true" indent="0" shrinkToFit="false"/>
      <protection locked="true" hidden="false"/>
    </xf>
    <xf numFmtId="164" fontId="16" fillId="5" borderId="1" xfId="0" applyFont="true" applyBorder="true" applyAlignment="true" applyProtection="false">
      <alignment horizontal="left" vertical="top" textRotation="0" wrapText="true" indent="0" shrinkToFit="false"/>
      <protection locked="true" hidden="false"/>
    </xf>
    <xf numFmtId="164" fontId="17" fillId="8" borderId="1" xfId="0" applyFont="true" applyBorder="true" applyAlignment="true" applyProtection="false">
      <alignment horizontal="center" vertical="center" textRotation="0" wrapText="true" indent="0" shrinkToFit="false"/>
      <protection locked="true" hidden="false"/>
    </xf>
    <xf numFmtId="164" fontId="18" fillId="5" borderId="1" xfId="0" applyFont="true" applyBorder="true" applyAlignment="true" applyProtection="false">
      <alignment horizontal="center" vertical="center" textRotation="0" wrapText="true" indent="0" shrinkToFit="false"/>
      <protection locked="true" hidden="false"/>
    </xf>
    <xf numFmtId="164" fontId="19" fillId="9" borderId="1" xfId="0" applyFont="true" applyBorder="true" applyAlignment="true" applyProtection="false">
      <alignment horizontal="center" vertical="center" textRotation="0" wrapText="true" indent="0" shrinkToFit="false"/>
      <protection locked="true" hidden="false"/>
    </xf>
    <xf numFmtId="164" fontId="11" fillId="5" borderId="1" xfId="0" applyFont="true" applyBorder="true" applyAlignment="true" applyProtection="false">
      <alignment horizontal="left" vertical="top" textRotation="0" wrapText="true" indent="0" shrinkToFit="false"/>
      <protection locked="true" hidden="false"/>
    </xf>
    <xf numFmtId="164" fontId="14" fillId="4" borderId="1" xfId="0" applyFont="true" applyBorder="true" applyAlignment="true" applyProtection="false">
      <alignment horizontal="center" vertical="center" textRotation="0" wrapText="true" indent="0" shrinkToFit="false"/>
      <protection locked="true" hidden="false"/>
    </xf>
    <xf numFmtId="164" fontId="15" fillId="4" borderId="1" xfId="0" applyFont="true" applyBorder="true" applyAlignment="true" applyProtection="false">
      <alignment horizontal="center" vertical="center" textRotation="0" wrapText="true" indent="0" shrinkToFit="false"/>
      <protection locked="true" hidden="false"/>
    </xf>
    <xf numFmtId="164" fontId="13" fillId="4" borderId="1" xfId="0" applyFont="true" applyBorder="true" applyAlignment="true" applyProtection="false">
      <alignment horizontal="left" vertical="top" textRotation="0" wrapText="true" indent="0" shrinkToFit="false"/>
      <protection locked="true" hidden="false"/>
    </xf>
    <xf numFmtId="164" fontId="10" fillId="4" borderId="1" xfId="0" applyFont="true" applyBorder="true" applyAlignment="true" applyProtection="false">
      <alignment horizontal="left" vertical="top" textRotation="0" wrapText="true" indent="0" shrinkToFit="false"/>
      <protection locked="true" hidden="false"/>
    </xf>
    <xf numFmtId="164" fontId="16" fillId="4" borderId="1" xfId="0" applyFont="true" applyBorder="true" applyAlignment="true" applyProtection="false">
      <alignment horizontal="left" vertical="top" textRotation="0" wrapText="true" indent="0" shrinkToFit="false"/>
      <protection locked="true" hidden="false"/>
    </xf>
    <xf numFmtId="164" fontId="17" fillId="10" borderId="1" xfId="0" applyFont="true" applyBorder="true" applyAlignment="true" applyProtection="false">
      <alignment horizontal="center" vertical="center" textRotation="0" wrapText="true" indent="0" shrinkToFit="false"/>
      <protection locked="true" hidden="false"/>
    </xf>
    <xf numFmtId="164" fontId="18" fillId="4" borderId="1" xfId="0" applyFont="true" applyBorder="true" applyAlignment="true" applyProtection="false">
      <alignment horizontal="center" vertical="center" textRotation="0" wrapText="true" indent="0" shrinkToFit="false"/>
      <protection locked="true" hidden="false"/>
    </xf>
    <xf numFmtId="164" fontId="11" fillId="4" borderId="1" xfId="0" applyFont="true" applyBorder="true" applyAlignment="true" applyProtection="false">
      <alignment horizontal="left" vertical="top" textRotation="0" wrapText="true" indent="0" shrinkToFit="false"/>
      <protection locked="true" hidden="false"/>
    </xf>
    <xf numFmtId="164" fontId="17" fillId="11" borderId="1" xfId="0" applyFont="true" applyBorder="true" applyAlignment="true" applyProtection="false">
      <alignment horizontal="center" vertical="center" textRotation="0" wrapText="true" indent="0" shrinkToFit="false"/>
      <protection locked="true" hidden="false"/>
    </xf>
    <xf numFmtId="164" fontId="20" fillId="7" borderId="0" xfId="0" applyFont="true" applyBorder="true" applyAlignment="true" applyProtection="false">
      <alignment horizontal="left" vertical="top" textRotation="0" wrapText="true" indent="0" shrinkToFit="false"/>
      <protection locked="true" hidden="false"/>
    </xf>
    <xf numFmtId="164" fontId="8" fillId="7" borderId="0" xfId="0" applyFont="true" applyBorder="true" applyAlignment="true" applyProtection="false">
      <alignment horizontal="center" vertical="center" textRotation="0" wrapText="true" indent="0" shrinkToFit="false"/>
      <protection locked="true" hidden="false"/>
    </xf>
    <xf numFmtId="164" fontId="21" fillId="7" borderId="0" xfId="0" applyFont="true" applyBorder="true" applyAlignment="true" applyProtection="false">
      <alignment horizontal="center" vertical="center" textRotation="0" wrapText="true" indent="0" shrinkToFit="false"/>
      <protection locked="true" hidden="false"/>
    </xf>
    <xf numFmtId="164" fontId="22" fillId="2" borderId="0" xfId="0" applyFont="true" applyBorder="true" applyAlignment="true" applyProtection="false">
      <alignment horizontal="center" vertical="center" textRotation="0" wrapText="true" indent="0" shrinkToFit="false"/>
      <protection locked="true" hidden="false"/>
    </xf>
    <xf numFmtId="164" fontId="5" fillId="12" borderId="1" xfId="0" applyFont="true" applyBorder="true" applyAlignment="true" applyProtection="false">
      <alignment horizontal="center" vertical="center" textRotation="0" wrapText="true" indent="0" shrinkToFit="false"/>
      <protection locked="true" hidden="false"/>
    </xf>
    <xf numFmtId="164" fontId="23" fillId="5" borderId="1" xfId="0" applyFont="true" applyBorder="true" applyAlignment="true" applyProtection="false">
      <alignment horizontal="center" vertical="center" textRotation="0" wrapText="true" indent="0" shrinkToFit="false"/>
      <protection locked="true" hidden="false"/>
    </xf>
    <xf numFmtId="164" fontId="23" fillId="4" borderId="1" xfId="0" applyFont="true" applyBorder="true" applyAlignment="true" applyProtection="false">
      <alignment horizontal="center" vertical="center" textRotation="0" wrapText="true" indent="0" shrinkToFit="false"/>
      <protection locked="true" hidden="false"/>
    </xf>
    <xf numFmtId="164" fontId="24" fillId="7" borderId="0"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AC2DE"/>
      <rgbColor rgb="FF808080"/>
      <rgbColor rgb="FF89B4FA"/>
      <rgbColor rgb="FF993366"/>
      <rgbColor rgb="FFFFFFCC"/>
      <rgbColor rgb="FFCCFFFF"/>
      <rgbColor rgb="FF660066"/>
      <rgbColor rgb="FFF38BA8"/>
      <rgbColor rgb="FF0066CC"/>
      <rgbColor rgb="FFCDD6F4"/>
      <rgbColor rgb="FF000080"/>
      <rgbColor rgb="FFFF00FF"/>
      <rgbColor rgb="FFFFFF00"/>
      <rgbColor rgb="FF00FFFF"/>
      <rgbColor rgb="FF800080"/>
      <rgbColor rgb="FF800000"/>
      <rgbColor rgb="FF008080"/>
      <rgbColor rgb="FF0000FF"/>
      <rgbColor rgb="FF00CCFF"/>
      <rgbColor rgb="FFCCFFFF"/>
      <rgbColor rgb="FFA6E3A1"/>
      <rgbColor rgb="FFFFFF99"/>
      <rgbColor rgb="FF89DCEB"/>
      <rgbColor rgb="FFFF99CC"/>
      <rgbColor rgb="FFCBA6F7"/>
      <rgbColor rgb="FFF9E2AF"/>
      <rgbColor rgb="FF3366FF"/>
      <rgbColor rgb="FF33CCCC"/>
      <rgbColor rgb="FF99CC00"/>
      <rgbColor rgb="FFFFCC00"/>
      <rgbColor rgb="FFFF9900"/>
      <rgbColor rgb="FFFF6600"/>
      <rgbColor rgb="FF585B70"/>
      <rgbColor rgb="FF969696"/>
      <rgbColor rgb="FF2A2A3E"/>
      <rgbColor rgb="FF339966"/>
      <rgbColor rgb="FF1E1E2E"/>
      <rgbColor rgb="FF252535"/>
      <rgbColor rgb="FF993300"/>
      <rgbColor rgb="FF993366"/>
      <rgbColor rgb="FF45475A"/>
      <rgbColor rgb="FF3132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9B4FA"/>
    <pageSetUpPr fitToPage="false"/>
  </sheetPr>
  <dimension ref="A1:F1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4"/>
    <col collapsed="false" customWidth="true" hidden="false" outlineLevel="0" max="3" min="3" style="0" width="16"/>
    <col collapsed="false" customWidth="true" hidden="false" outlineLevel="0" max="4" min="4" style="0" width="24"/>
    <col collapsed="false" customWidth="true" hidden="false" outlineLevel="0" max="6" min="5" style="0" width="22"/>
  </cols>
  <sheetData>
    <row r="1" customFormat="false" ht="43.5" hidden="false" customHeight="true" outlineLevel="0" collapsed="false">
      <c r="A1" s="1" t="s">
        <v>0</v>
      </c>
      <c r="B1" s="1"/>
      <c r="C1" s="1"/>
      <c r="D1" s="1"/>
      <c r="E1" s="1"/>
      <c r="F1" s="1"/>
    </row>
    <row r="2" customFormat="false" ht="12" hidden="false" customHeight="true" outlineLevel="0" collapsed="false">
      <c r="A2" s="2"/>
      <c r="B2" s="2"/>
      <c r="C2" s="2"/>
      <c r="D2" s="2"/>
      <c r="E2" s="2"/>
      <c r="F2" s="2"/>
    </row>
    <row r="3" customFormat="false" ht="25.5" hidden="false" customHeight="true" outlineLevel="0" collapsed="false">
      <c r="A3" s="3" t="s">
        <v>1</v>
      </c>
      <c r="B3" s="3" t="s">
        <v>2</v>
      </c>
      <c r="C3" s="3" t="s">
        <v>3</v>
      </c>
      <c r="D3" s="3" t="s">
        <v>4</v>
      </c>
      <c r="E3" s="3" t="s">
        <v>5</v>
      </c>
      <c r="F3" s="3" t="s">
        <v>6</v>
      </c>
    </row>
    <row r="4" customFormat="false" ht="30" hidden="false" customHeight="true" outlineLevel="0" collapsed="false">
      <c r="A4" s="4" t="s">
        <v>7</v>
      </c>
      <c r="B4" s="4" t="s">
        <v>8</v>
      </c>
      <c r="C4" s="4" t="s">
        <v>9</v>
      </c>
      <c r="D4" s="4" t="s">
        <v>10</v>
      </c>
      <c r="E4" s="4" t="s">
        <v>11</v>
      </c>
      <c r="F4" s="4" t="s">
        <v>12</v>
      </c>
    </row>
    <row r="5" customFormat="false" ht="30" hidden="false" customHeight="true" outlineLevel="0" collapsed="false">
      <c r="A5" s="5" t="s">
        <v>13</v>
      </c>
      <c r="B5" s="5" t="s">
        <v>14</v>
      </c>
      <c r="C5" s="5" t="s">
        <v>15</v>
      </c>
      <c r="D5" s="5" t="s">
        <v>10</v>
      </c>
      <c r="E5" s="5" t="s">
        <v>16</v>
      </c>
      <c r="F5" s="5" t="s">
        <v>12</v>
      </c>
    </row>
    <row r="6" customFormat="false" ht="30" hidden="false" customHeight="true" outlineLevel="0" collapsed="false">
      <c r="A6" s="6" t="s">
        <v>17</v>
      </c>
      <c r="B6" s="6" t="s">
        <v>18</v>
      </c>
      <c r="C6" s="6" t="s">
        <v>19</v>
      </c>
      <c r="D6" s="6" t="s">
        <v>20</v>
      </c>
      <c r="E6" s="6" t="s">
        <v>21</v>
      </c>
      <c r="F6" s="6"/>
    </row>
    <row r="7" customFormat="false" ht="12" hidden="false" customHeight="true" outlineLevel="0" collapsed="false">
      <c r="A7" s="2"/>
      <c r="B7" s="2"/>
      <c r="C7" s="2"/>
      <c r="D7" s="2"/>
      <c r="E7" s="2"/>
      <c r="F7" s="2"/>
    </row>
    <row r="8" customFormat="false" ht="19.5" hidden="false" customHeight="true" outlineLevel="0" collapsed="false">
      <c r="A8" s="7" t="s">
        <v>22</v>
      </c>
      <c r="B8" s="7"/>
      <c r="C8" s="7"/>
      <c r="D8" s="7"/>
      <c r="E8" s="7"/>
      <c r="F8" s="7"/>
    </row>
    <row r="9" customFormat="false" ht="21.75" hidden="false" customHeight="true" outlineLevel="0" collapsed="false">
      <c r="A9" s="8" t="s">
        <v>23</v>
      </c>
      <c r="B9" s="9" t="s">
        <v>24</v>
      </c>
      <c r="C9" s="9"/>
      <c r="D9" s="9"/>
      <c r="E9" s="9"/>
      <c r="F9" s="9"/>
    </row>
    <row r="10" customFormat="false" ht="21.75" hidden="false" customHeight="true" outlineLevel="0" collapsed="false">
      <c r="A10" s="10" t="s">
        <v>25</v>
      </c>
      <c r="B10" s="11" t="s">
        <v>26</v>
      </c>
      <c r="C10" s="11"/>
      <c r="D10" s="11"/>
      <c r="E10" s="11"/>
      <c r="F10" s="11"/>
    </row>
    <row r="11" customFormat="false" ht="21.75" hidden="false" customHeight="true" outlineLevel="0" collapsed="false">
      <c r="A11" s="8" t="s">
        <v>27</v>
      </c>
      <c r="B11" s="9" t="s">
        <v>28</v>
      </c>
      <c r="C11" s="9"/>
      <c r="D11" s="9"/>
      <c r="E11" s="9"/>
      <c r="F11" s="9"/>
    </row>
    <row r="12" customFormat="false" ht="21.75" hidden="false" customHeight="true" outlineLevel="0" collapsed="false">
      <c r="A12" s="10" t="s">
        <v>29</v>
      </c>
      <c r="B12" s="11" t="s">
        <v>30</v>
      </c>
      <c r="C12" s="11"/>
      <c r="D12" s="11"/>
      <c r="E12" s="11"/>
      <c r="F12" s="11"/>
    </row>
    <row r="13" customFormat="false" ht="21.75" hidden="false" customHeight="true" outlineLevel="0" collapsed="false">
      <c r="A13" s="8" t="s">
        <v>31</v>
      </c>
      <c r="B13" s="9" t="s">
        <v>32</v>
      </c>
      <c r="C13" s="9"/>
      <c r="D13" s="9"/>
      <c r="E13" s="9"/>
      <c r="F13" s="9"/>
    </row>
    <row r="14" customFormat="false" ht="21.75" hidden="false" customHeight="true" outlineLevel="0" collapsed="false">
      <c r="A14" s="10" t="s">
        <v>33</v>
      </c>
      <c r="B14" s="11" t="s">
        <v>34</v>
      </c>
      <c r="C14" s="11"/>
      <c r="D14" s="11"/>
      <c r="E14" s="11"/>
      <c r="F14" s="11"/>
    </row>
    <row r="15" customFormat="false" ht="21.75" hidden="false" customHeight="true" outlineLevel="0" collapsed="false">
      <c r="A15" s="8" t="s">
        <v>35</v>
      </c>
      <c r="B15" s="9" t="s">
        <v>36</v>
      </c>
      <c r="C15" s="9"/>
      <c r="D15" s="9"/>
      <c r="E15" s="9"/>
      <c r="F15" s="9"/>
    </row>
    <row r="17" customFormat="false" ht="18" hidden="false" customHeight="true" outlineLevel="0" collapsed="false">
      <c r="A17" s="12" t="s">
        <v>37</v>
      </c>
      <c r="B17" s="12"/>
      <c r="C17" s="12"/>
      <c r="D17" s="12"/>
      <c r="E17" s="12"/>
      <c r="F17" s="12"/>
    </row>
  </sheetData>
  <mergeCells count="12">
    <mergeCell ref="A1:F1"/>
    <mergeCell ref="A2:F2"/>
    <mergeCell ref="A7:F7"/>
    <mergeCell ref="A8:F8"/>
    <mergeCell ref="B9:F9"/>
    <mergeCell ref="B10:F10"/>
    <mergeCell ref="B11:F11"/>
    <mergeCell ref="B12:F12"/>
    <mergeCell ref="B13:F13"/>
    <mergeCell ref="B14:F14"/>
    <mergeCell ref="B15:F15"/>
    <mergeCell ref="A17:F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9B4FA"/>
    <pageSetUpPr fitToPage="false"/>
  </sheetPr>
  <dimension ref="A1:J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8"/>
    <col collapsed="false" customWidth="true" hidden="false" outlineLevel="0" max="3" min="3" style="0" width="32"/>
    <col collapsed="false" customWidth="true" hidden="false" outlineLevel="0" max="4" min="4" style="0" width="58"/>
    <col collapsed="false" customWidth="true" hidden="false" outlineLevel="0" max="5" min="5" style="0" width="50"/>
    <col collapsed="false" customWidth="true" hidden="false" outlineLevel="0" max="6" min="6" style="0" width="10"/>
    <col collapsed="false" customWidth="true" hidden="false" outlineLevel="0" max="8" min="7" style="0" width="11"/>
    <col collapsed="false" customWidth="true" hidden="false" outlineLevel="0" max="9" min="9" style="0" width="13"/>
    <col collapsed="false" customWidth="true" hidden="false" outlineLevel="0" max="10" min="10" style="0" width="36"/>
  </cols>
  <sheetData>
    <row r="1" customFormat="false" ht="37.5" hidden="false" customHeight="true" outlineLevel="0" collapsed="false">
      <c r="A1" s="13" t="s">
        <v>38</v>
      </c>
      <c r="B1" s="13"/>
      <c r="C1" s="13"/>
      <c r="D1" s="13"/>
      <c r="E1" s="13"/>
      <c r="F1" s="13"/>
      <c r="G1" s="13"/>
      <c r="H1" s="13"/>
      <c r="I1" s="13"/>
      <c r="J1" s="13"/>
    </row>
    <row r="2" customFormat="false" ht="18" hidden="false" customHeight="true" outlineLevel="0" collapsed="false">
      <c r="A2" s="12" t="s">
        <v>39</v>
      </c>
      <c r="B2" s="12"/>
      <c r="C2" s="12"/>
      <c r="D2" s="12"/>
      <c r="E2" s="12"/>
      <c r="F2" s="12"/>
      <c r="G2" s="12"/>
      <c r="H2" s="12"/>
      <c r="I2" s="12"/>
      <c r="J2" s="12"/>
    </row>
    <row r="3" customFormat="false" ht="25.5" hidden="false" customHeight="true" outlineLevel="0" collapsed="false">
      <c r="A3" s="14" t="s">
        <v>40</v>
      </c>
      <c r="B3" s="14" t="s">
        <v>41</v>
      </c>
      <c r="C3" s="14" t="s">
        <v>42</v>
      </c>
      <c r="D3" s="14" t="s">
        <v>43</v>
      </c>
      <c r="E3" s="14" t="s">
        <v>44</v>
      </c>
      <c r="F3" s="14" t="s">
        <v>45</v>
      </c>
      <c r="G3" s="14" t="s">
        <v>46</v>
      </c>
      <c r="H3" s="14" t="s">
        <v>47</v>
      </c>
      <c r="I3" s="14" t="s">
        <v>6</v>
      </c>
      <c r="J3" s="14" t="s">
        <v>48</v>
      </c>
    </row>
    <row r="4" customFormat="false" ht="19.5" hidden="false" customHeight="true" outlineLevel="0" collapsed="false">
      <c r="A4" s="15" t="s">
        <v>49</v>
      </c>
      <c r="B4" s="15"/>
      <c r="C4" s="15"/>
      <c r="D4" s="15"/>
      <c r="E4" s="15"/>
      <c r="F4" s="15"/>
      <c r="G4" s="15"/>
      <c r="H4" s="15"/>
      <c r="I4" s="15"/>
      <c r="J4" s="15"/>
    </row>
    <row r="5" customFormat="false" ht="99.75" hidden="false" customHeight="true" outlineLevel="0" collapsed="false">
      <c r="A5" s="16" t="s">
        <v>50</v>
      </c>
      <c r="B5" s="17" t="s">
        <v>51</v>
      </c>
      <c r="C5" s="18" t="s">
        <v>52</v>
      </c>
      <c r="D5" s="19" t="s">
        <v>53</v>
      </c>
      <c r="E5" s="20" t="s">
        <v>54</v>
      </c>
      <c r="F5" s="21" t="s">
        <v>55</v>
      </c>
      <c r="G5" s="22" t="s">
        <v>56</v>
      </c>
      <c r="H5" s="22" t="s">
        <v>56</v>
      </c>
      <c r="I5" s="23" t="s">
        <v>12</v>
      </c>
      <c r="J5" s="24" t="s">
        <v>57</v>
      </c>
    </row>
    <row r="6" customFormat="false" ht="99.75" hidden="false" customHeight="true" outlineLevel="0" collapsed="false">
      <c r="A6" s="25" t="s">
        <v>58</v>
      </c>
      <c r="B6" s="26" t="s">
        <v>51</v>
      </c>
      <c r="C6" s="27" t="s">
        <v>59</v>
      </c>
      <c r="D6" s="28" t="s">
        <v>60</v>
      </c>
      <c r="E6" s="29" t="s">
        <v>61</v>
      </c>
      <c r="F6" s="30" t="s">
        <v>62</v>
      </c>
      <c r="G6" s="31" t="s">
        <v>56</v>
      </c>
      <c r="H6" s="31" t="s">
        <v>63</v>
      </c>
      <c r="I6" s="23" t="s">
        <v>12</v>
      </c>
      <c r="J6" s="32" t="s">
        <v>64</v>
      </c>
    </row>
    <row r="7" customFormat="false" ht="99.75" hidden="false" customHeight="true" outlineLevel="0" collapsed="false">
      <c r="A7" s="16" t="s">
        <v>65</v>
      </c>
      <c r="B7" s="17" t="s">
        <v>51</v>
      </c>
      <c r="C7" s="18" t="s">
        <v>66</v>
      </c>
      <c r="D7" s="19" t="s">
        <v>67</v>
      </c>
      <c r="E7" s="20" t="s">
        <v>68</v>
      </c>
      <c r="F7" s="30" t="s">
        <v>62</v>
      </c>
      <c r="G7" s="22" t="s">
        <v>63</v>
      </c>
      <c r="H7" s="22" t="s">
        <v>63</v>
      </c>
      <c r="I7" s="23" t="s">
        <v>12</v>
      </c>
      <c r="J7" s="24" t="s">
        <v>69</v>
      </c>
    </row>
    <row r="8" customFormat="false" ht="99.75" hidden="false" customHeight="true" outlineLevel="0" collapsed="false">
      <c r="A8" s="25" t="s">
        <v>70</v>
      </c>
      <c r="B8" s="26" t="s">
        <v>51</v>
      </c>
      <c r="C8" s="27" t="s">
        <v>71</v>
      </c>
      <c r="D8" s="28" t="s">
        <v>72</v>
      </c>
      <c r="E8" s="29" t="s">
        <v>73</v>
      </c>
      <c r="F8" s="30" t="s">
        <v>62</v>
      </c>
      <c r="G8" s="31" t="s">
        <v>56</v>
      </c>
      <c r="H8" s="31" t="s">
        <v>63</v>
      </c>
      <c r="I8" s="23" t="s">
        <v>12</v>
      </c>
      <c r="J8" s="32"/>
    </row>
    <row r="9" customFormat="false" ht="99.75" hidden="false" customHeight="true" outlineLevel="0" collapsed="false">
      <c r="A9" s="16" t="s">
        <v>74</v>
      </c>
      <c r="B9" s="17" t="s">
        <v>51</v>
      </c>
      <c r="C9" s="18" t="s">
        <v>75</v>
      </c>
      <c r="D9" s="19" t="s">
        <v>76</v>
      </c>
      <c r="E9" s="20" t="s">
        <v>77</v>
      </c>
      <c r="F9" s="30" t="s">
        <v>62</v>
      </c>
      <c r="G9" s="22" t="s">
        <v>63</v>
      </c>
      <c r="H9" s="22" t="s">
        <v>63</v>
      </c>
      <c r="I9" s="23" t="s">
        <v>12</v>
      </c>
      <c r="J9" s="24"/>
    </row>
    <row r="10" customFormat="false" ht="19.5" hidden="false" customHeight="true" outlineLevel="0" collapsed="false">
      <c r="A10" s="15" t="s">
        <v>78</v>
      </c>
      <c r="B10" s="15"/>
      <c r="C10" s="15"/>
      <c r="D10" s="15"/>
      <c r="E10" s="15"/>
      <c r="F10" s="15"/>
      <c r="G10" s="15"/>
      <c r="H10" s="15"/>
      <c r="I10" s="15"/>
      <c r="J10" s="15"/>
    </row>
    <row r="11" customFormat="false" ht="99.75" hidden="false" customHeight="true" outlineLevel="0" collapsed="false">
      <c r="A11" s="25" t="s">
        <v>79</v>
      </c>
      <c r="B11" s="26" t="s">
        <v>80</v>
      </c>
      <c r="C11" s="27" t="s">
        <v>81</v>
      </c>
      <c r="D11" s="28" t="s">
        <v>82</v>
      </c>
      <c r="E11" s="29" t="s">
        <v>83</v>
      </c>
      <c r="F11" s="30" t="s">
        <v>62</v>
      </c>
      <c r="G11" s="31" t="s">
        <v>84</v>
      </c>
      <c r="H11" s="31" t="s">
        <v>84</v>
      </c>
      <c r="I11" s="23" t="s">
        <v>12</v>
      </c>
      <c r="J11" s="32"/>
    </row>
    <row r="12" customFormat="false" ht="99.75" hidden="false" customHeight="true" outlineLevel="0" collapsed="false">
      <c r="A12" s="16" t="s">
        <v>85</v>
      </c>
      <c r="B12" s="17" t="s">
        <v>80</v>
      </c>
      <c r="C12" s="18" t="s">
        <v>86</v>
      </c>
      <c r="D12" s="19" t="s">
        <v>87</v>
      </c>
      <c r="E12" s="20" t="s">
        <v>88</v>
      </c>
      <c r="F12" s="21" t="s">
        <v>55</v>
      </c>
      <c r="G12" s="22" t="s">
        <v>84</v>
      </c>
      <c r="H12" s="22" t="s">
        <v>84</v>
      </c>
      <c r="I12" s="23" t="s">
        <v>12</v>
      </c>
      <c r="J12" s="24"/>
    </row>
    <row r="13" customFormat="false" ht="99.75" hidden="false" customHeight="true" outlineLevel="0" collapsed="false">
      <c r="A13" s="25" t="s">
        <v>89</v>
      </c>
      <c r="B13" s="26" t="s">
        <v>80</v>
      </c>
      <c r="C13" s="27" t="s">
        <v>90</v>
      </c>
      <c r="D13" s="28" t="s">
        <v>91</v>
      </c>
      <c r="E13" s="29" t="s">
        <v>92</v>
      </c>
      <c r="F13" s="30" t="s">
        <v>62</v>
      </c>
      <c r="G13" s="31" t="s">
        <v>84</v>
      </c>
      <c r="H13" s="31" t="s">
        <v>84</v>
      </c>
      <c r="I13" s="23" t="s">
        <v>12</v>
      </c>
      <c r="J13" s="32"/>
    </row>
    <row r="14" customFormat="false" ht="99.75" hidden="false" customHeight="true" outlineLevel="0" collapsed="false">
      <c r="A14" s="16" t="s">
        <v>93</v>
      </c>
      <c r="B14" s="17" t="s">
        <v>80</v>
      </c>
      <c r="C14" s="18" t="s">
        <v>94</v>
      </c>
      <c r="D14" s="19" t="s">
        <v>95</v>
      </c>
      <c r="E14" s="20" t="s">
        <v>96</v>
      </c>
      <c r="F14" s="30" t="s">
        <v>62</v>
      </c>
      <c r="G14" s="22" t="s">
        <v>84</v>
      </c>
      <c r="H14" s="22" t="s">
        <v>97</v>
      </c>
      <c r="I14" s="23" t="s">
        <v>12</v>
      </c>
      <c r="J14" s="24"/>
    </row>
    <row r="15" customFormat="false" ht="99.75" hidden="false" customHeight="true" outlineLevel="0" collapsed="false">
      <c r="A15" s="25" t="s">
        <v>98</v>
      </c>
      <c r="B15" s="26" t="s">
        <v>80</v>
      </c>
      <c r="C15" s="27" t="s">
        <v>99</v>
      </c>
      <c r="D15" s="28" t="s">
        <v>100</v>
      </c>
      <c r="E15" s="29" t="s">
        <v>101</v>
      </c>
      <c r="F15" s="30" t="s">
        <v>62</v>
      </c>
      <c r="G15" s="31" t="s">
        <v>97</v>
      </c>
      <c r="H15" s="31" t="s">
        <v>97</v>
      </c>
      <c r="I15" s="23" t="s">
        <v>12</v>
      </c>
      <c r="J15" s="32" t="s">
        <v>102</v>
      </c>
    </row>
    <row r="16" customFormat="false" ht="19.5" hidden="false" customHeight="true" outlineLevel="0" collapsed="false">
      <c r="A16" s="15" t="s">
        <v>103</v>
      </c>
      <c r="B16" s="15"/>
      <c r="C16" s="15"/>
      <c r="D16" s="15"/>
      <c r="E16" s="15"/>
      <c r="F16" s="15"/>
      <c r="G16" s="15"/>
      <c r="H16" s="15"/>
      <c r="I16" s="15"/>
      <c r="J16" s="15"/>
    </row>
    <row r="17" customFormat="false" ht="99.75" hidden="false" customHeight="true" outlineLevel="0" collapsed="false">
      <c r="A17" s="16" t="s">
        <v>104</v>
      </c>
      <c r="B17" s="17" t="s">
        <v>105</v>
      </c>
      <c r="C17" s="18" t="s">
        <v>106</v>
      </c>
      <c r="D17" s="19" t="s">
        <v>107</v>
      </c>
      <c r="E17" s="20" t="s">
        <v>108</v>
      </c>
      <c r="F17" s="21" t="s">
        <v>55</v>
      </c>
      <c r="G17" s="22" t="s">
        <v>97</v>
      </c>
      <c r="H17" s="22" t="s">
        <v>97</v>
      </c>
      <c r="I17" s="23" t="s">
        <v>12</v>
      </c>
      <c r="J17" s="24" t="s">
        <v>109</v>
      </c>
    </row>
    <row r="18" customFormat="false" ht="99.75" hidden="false" customHeight="true" outlineLevel="0" collapsed="false">
      <c r="A18" s="25" t="s">
        <v>110</v>
      </c>
      <c r="B18" s="26" t="s">
        <v>105</v>
      </c>
      <c r="C18" s="27" t="s">
        <v>111</v>
      </c>
      <c r="D18" s="28" t="s">
        <v>112</v>
      </c>
      <c r="E18" s="29" t="s">
        <v>113</v>
      </c>
      <c r="F18" s="30" t="s">
        <v>62</v>
      </c>
      <c r="G18" s="31" t="s">
        <v>97</v>
      </c>
      <c r="H18" s="31" t="s">
        <v>97</v>
      </c>
      <c r="I18" s="23" t="s">
        <v>12</v>
      </c>
      <c r="J18" s="32" t="s">
        <v>114</v>
      </c>
    </row>
    <row r="19" customFormat="false" ht="99.75" hidden="false" customHeight="true" outlineLevel="0" collapsed="false">
      <c r="A19" s="16" t="s">
        <v>115</v>
      </c>
      <c r="B19" s="17" t="s">
        <v>105</v>
      </c>
      <c r="C19" s="18" t="s">
        <v>116</v>
      </c>
      <c r="D19" s="19" t="s">
        <v>117</v>
      </c>
      <c r="E19" s="20" t="s">
        <v>118</v>
      </c>
      <c r="F19" s="21" t="s">
        <v>55</v>
      </c>
      <c r="G19" s="22" t="s">
        <v>97</v>
      </c>
      <c r="H19" s="22" t="s">
        <v>97</v>
      </c>
      <c r="I19" s="23" t="s">
        <v>12</v>
      </c>
      <c r="J19" s="24"/>
    </row>
    <row r="20" customFormat="false" ht="99.75" hidden="false" customHeight="true" outlineLevel="0" collapsed="false">
      <c r="A20" s="25" t="s">
        <v>119</v>
      </c>
      <c r="B20" s="26" t="s">
        <v>105</v>
      </c>
      <c r="C20" s="27" t="s">
        <v>120</v>
      </c>
      <c r="D20" s="28" t="s">
        <v>121</v>
      </c>
      <c r="E20" s="29" t="s">
        <v>122</v>
      </c>
      <c r="F20" s="33" t="s">
        <v>123</v>
      </c>
      <c r="G20" s="31" t="s">
        <v>124</v>
      </c>
      <c r="H20" s="31" t="s">
        <v>124</v>
      </c>
      <c r="I20" s="23" t="s">
        <v>12</v>
      </c>
      <c r="J20" s="32" t="s">
        <v>125</v>
      </c>
    </row>
    <row r="21" customFormat="false" ht="99.75" hidden="false" customHeight="true" outlineLevel="0" collapsed="false">
      <c r="A21" s="16" t="s">
        <v>126</v>
      </c>
      <c r="B21" s="17" t="s">
        <v>105</v>
      </c>
      <c r="C21" s="18" t="s">
        <v>127</v>
      </c>
      <c r="D21" s="19" t="s">
        <v>128</v>
      </c>
      <c r="E21" s="20" t="s">
        <v>129</v>
      </c>
      <c r="F21" s="30" t="s">
        <v>62</v>
      </c>
      <c r="G21" s="22" t="s">
        <v>124</v>
      </c>
      <c r="H21" s="22" t="s">
        <v>130</v>
      </c>
      <c r="I21" s="23" t="s">
        <v>12</v>
      </c>
      <c r="J21" s="24" t="s">
        <v>131</v>
      </c>
    </row>
    <row r="22" customFormat="false" ht="99.75" hidden="false" customHeight="true" outlineLevel="0" collapsed="false">
      <c r="A22" s="25" t="s">
        <v>132</v>
      </c>
      <c r="B22" s="26" t="s">
        <v>105</v>
      </c>
      <c r="C22" s="27" t="s">
        <v>133</v>
      </c>
      <c r="D22" s="28" t="s">
        <v>134</v>
      </c>
      <c r="E22" s="29" t="s">
        <v>135</v>
      </c>
      <c r="F22" s="21" t="s">
        <v>55</v>
      </c>
      <c r="G22" s="31" t="s">
        <v>130</v>
      </c>
      <c r="H22" s="31" t="s">
        <v>130</v>
      </c>
      <c r="I22" s="23" t="s">
        <v>12</v>
      </c>
      <c r="J22" s="32"/>
    </row>
    <row r="23" customFormat="false" ht="19.5" hidden="false" customHeight="true" outlineLevel="0" collapsed="false">
      <c r="A23" s="15" t="s">
        <v>136</v>
      </c>
      <c r="B23" s="15"/>
      <c r="C23" s="15"/>
      <c r="D23" s="15"/>
      <c r="E23" s="15"/>
      <c r="F23" s="15"/>
      <c r="G23" s="15"/>
      <c r="H23" s="15"/>
      <c r="I23" s="15"/>
      <c r="J23" s="15"/>
    </row>
    <row r="24" customFormat="false" ht="99.75" hidden="false" customHeight="true" outlineLevel="0" collapsed="false">
      <c r="A24" s="16" t="s">
        <v>137</v>
      </c>
      <c r="B24" s="17" t="s">
        <v>31</v>
      </c>
      <c r="C24" s="18" t="s">
        <v>138</v>
      </c>
      <c r="D24" s="19" t="s">
        <v>139</v>
      </c>
      <c r="E24" s="20" t="s">
        <v>140</v>
      </c>
      <c r="F24" s="21" t="s">
        <v>55</v>
      </c>
      <c r="G24" s="22" t="s">
        <v>141</v>
      </c>
      <c r="H24" s="22" t="s">
        <v>141</v>
      </c>
      <c r="I24" s="23" t="s">
        <v>12</v>
      </c>
      <c r="J24" s="24"/>
    </row>
    <row r="25" customFormat="false" ht="99.75" hidden="false" customHeight="true" outlineLevel="0" collapsed="false">
      <c r="A25" s="25" t="s">
        <v>142</v>
      </c>
      <c r="B25" s="26" t="s">
        <v>31</v>
      </c>
      <c r="C25" s="27" t="s">
        <v>143</v>
      </c>
      <c r="D25" s="28" t="s">
        <v>144</v>
      </c>
      <c r="E25" s="29" t="s">
        <v>145</v>
      </c>
      <c r="F25" s="33" t="s">
        <v>123</v>
      </c>
      <c r="G25" s="31" t="s">
        <v>141</v>
      </c>
      <c r="H25" s="31" t="s">
        <v>141</v>
      </c>
      <c r="I25" s="23" t="s">
        <v>12</v>
      </c>
      <c r="J25" s="32" t="s">
        <v>146</v>
      </c>
    </row>
    <row r="26" customFormat="false" ht="99.75" hidden="false" customHeight="true" outlineLevel="0" collapsed="false">
      <c r="A26" s="16" t="s">
        <v>147</v>
      </c>
      <c r="B26" s="17" t="s">
        <v>31</v>
      </c>
      <c r="C26" s="18" t="s">
        <v>148</v>
      </c>
      <c r="D26" s="19" t="s">
        <v>149</v>
      </c>
      <c r="E26" s="20" t="s">
        <v>150</v>
      </c>
      <c r="F26" s="30" t="s">
        <v>62</v>
      </c>
      <c r="G26" s="22" t="s">
        <v>141</v>
      </c>
      <c r="H26" s="22" t="s">
        <v>141</v>
      </c>
      <c r="I26" s="23" t="s">
        <v>12</v>
      </c>
      <c r="J26" s="24"/>
    </row>
    <row r="27" customFormat="false" ht="99.75" hidden="false" customHeight="true" outlineLevel="0" collapsed="false">
      <c r="A27" s="25" t="s">
        <v>151</v>
      </c>
      <c r="B27" s="26" t="s">
        <v>31</v>
      </c>
      <c r="C27" s="27" t="s">
        <v>152</v>
      </c>
      <c r="D27" s="28" t="s">
        <v>153</v>
      </c>
      <c r="E27" s="29" t="s">
        <v>154</v>
      </c>
      <c r="F27" s="30" t="s">
        <v>62</v>
      </c>
      <c r="G27" s="31" t="s">
        <v>141</v>
      </c>
      <c r="H27" s="31" t="s">
        <v>155</v>
      </c>
      <c r="I27" s="23" t="s">
        <v>12</v>
      </c>
      <c r="J27" s="32" t="s">
        <v>156</v>
      </c>
    </row>
    <row r="28" customFormat="false" ht="99.75" hidden="false" customHeight="true" outlineLevel="0" collapsed="false">
      <c r="A28" s="16" t="s">
        <v>157</v>
      </c>
      <c r="B28" s="17" t="s">
        <v>31</v>
      </c>
      <c r="C28" s="18" t="s">
        <v>158</v>
      </c>
      <c r="D28" s="19" t="s">
        <v>159</v>
      </c>
      <c r="E28" s="20" t="s">
        <v>160</v>
      </c>
      <c r="F28" s="33" t="s">
        <v>123</v>
      </c>
      <c r="G28" s="22" t="s">
        <v>141</v>
      </c>
      <c r="H28" s="22" t="s">
        <v>155</v>
      </c>
      <c r="I28" s="23" t="s">
        <v>12</v>
      </c>
      <c r="J28" s="24"/>
    </row>
    <row r="29" customFormat="false" ht="99.75" hidden="false" customHeight="true" outlineLevel="0" collapsed="false">
      <c r="A29" s="25" t="s">
        <v>161</v>
      </c>
      <c r="B29" s="26" t="s">
        <v>31</v>
      </c>
      <c r="C29" s="27" t="s">
        <v>162</v>
      </c>
      <c r="D29" s="28" t="s">
        <v>163</v>
      </c>
      <c r="E29" s="29" t="s">
        <v>164</v>
      </c>
      <c r="F29" s="30" t="s">
        <v>62</v>
      </c>
      <c r="G29" s="31" t="s">
        <v>155</v>
      </c>
      <c r="H29" s="31" t="s">
        <v>155</v>
      </c>
      <c r="I29" s="23" t="s">
        <v>12</v>
      </c>
      <c r="J29" s="32"/>
    </row>
    <row r="30" customFormat="false" ht="19.5" hidden="false" customHeight="true" outlineLevel="0" collapsed="false">
      <c r="A30" s="15" t="s">
        <v>165</v>
      </c>
      <c r="B30" s="15"/>
      <c r="C30" s="15"/>
      <c r="D30" s="15"/>
      <c r="E30" s="15"/>
      <c r="F30" s="15"/>
      <c r="G30" s="15"/>
      <c r="H30" s="15"/>
      <c r="I30" s="15"/>
      <c r="J30" s="15"/>
    </row>
    <row r="31" customFormat="false" ht="99.75" hidden="false" customHeight="true" outlineLevel="0" collapsed="false">
      <c r="A31" s="16" t="s">
        <v>166</v>
      </c>
      <c r="B31" s="17" t="s">
        <v>167</v>
      </c>
      <c r="C31" s="18" t="s">
        <v>168</v>
      </c>
      <c r="D31" s="19" t="s">
        <v>169</v>
      </c>
      <c r="E31" s="20" t="s">
        <v>170</v>
      </c>
      <c r="F31" s="30" t="s">
        <v>62</v>
      </c>
      <c r="G31" s="22" t="s">
        <v>155</v>
      </c>
      <c r="H31" s="22" t="s">
        <v>155</v>
      </c>
      <c r="I31" s="23" t="s">
        <v>12</v>
      </c>
      <c r="J31" s="24" t="s">
        <v>171</v>
      </c>
    </row>
    <row r="32" customFormat="false" ht="99.75" hidden="false" customHeight="true" outlineLevel="0" collapsed="false">
      <c r="A32" s="25" t="s">
        <v>172</v>
      </c>
      <c r="B32" s="26" t="s">
        <v>167</v>
      </c>
      <c r="C32" s="27" t="s">
        <v>173</v>
      </c>
      <c r="D32" s="28" t="s">
        <v>174</v>
      </c>
      <c r="E32" s="29" t="s">
        <v>175</v>
      </c>
      <c r="F32" s="30" t="s">
        <v>62</v>
      </c>
      <c r="G32" s="31" t="s">
        <v>176</v>
      </c>
      <c r="H32" s="31" t="s">
        <v>176</v>
      </c>
      <c r="I32" s="23" t="s">
        <v>12</v>
      </c>
      <c r="J32" s="32"/>
    </row>
    <row r="33" customFormat="false" ht="99.75" hidden="false" customHeight="true" outlineLevel="0" collapsed="false">
      <c r="A33" s="16" t="s">
        <v>177</v>
      </c>
      <c r="B33" s="17" t="s">
        <v>167</v>
      </c>
      <c r="C33" s="18" t="s">
        <v>178</v>
      </c>
      <c r="D33" s="19" t="s">
        <v>179</v>
      </c>
      <c r="E33" s="20" t="s">
        <v>180</v>
      </c>
      <c r="F33" s="30" t="s">
        <v>62</v>
      </c>
      <c r="G33" s="22" t="s">
        <v>176</v>
      </c>
      <c r="H33" s="22" t="s">
        <v>176</v>
      </c>
      <c r="I33" s="23" t="s">
        <v>12</v>
      </c>
      <c r="J33" s="24"/>
    </row>
    <row r="35" customFormat="false" ht="21.75" hidden="false" customHeight="true" outlineLevel="0" collapsed="false">
      <c r="A35" s="34" t="s">
        <v>181</v>
      </c>
      <c r="B35" s="34"/>
      <c r="C35" s="34"/>
      <c r="D35" s="35" t="str">
        <f aca="false">COUNTIF(I4:I33,"Complete")&amp;" of 25 Complete"</f>
        <v>0 of 25 Complete</v>
      </c>
      <c r="E35" s="35"/>
      <c r="F35" s="35"/>
      <c r="G35" s="36" t="str">
        <f aca="false">COUNTIF(I4:I33,"In Progress")&amp;" In Progress   |   "&amp;COUNTIF(I4:I33,"Blocked")&amp;" Blocked"</f>
        <v>0 In Progress   |   0 Blocked</v>
      </c>
      <c r="H35" s="36"/>
      <c r="I35" s="36"/>
      <c r="J35" s="36"/>
    </row>
  </sheetData>
  <mergeCells count="10">
    <mergeCell ref="A1:J1"/>
    <mergeCell ref="A2:J2"/>
    <mergeCell ref="A4:J4"/>
    <mergeCell ref="A10:J10"/>
    <mergeCell ref="A16:J16"/>
    <mergeCell ref="A23:J23"/>
    <mergeCell ref="A30:J30"/>
    <mergeCell ref="A35:C35"/>
    <mergeCell ref="D35:F35"/>
    <mergeCell ref="G35:J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BA6F7"/>
    <pageSetUpPr fitToPage="false"/>
  </sheetPr>
  <dimension ref="A1:J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8"/>
    <col collapsed="false" customWidth="true" hidden="false" outlineLevel="0" max="3" min="3" style="0" width="32"/>
    <col collapsed="false" customWidth="true" hidden="false" outlineLevel="0" max="4" min="4" style="0" width="58"/>
    <col collapsed="false" customWidth="true" hidden="false" outlineLevel="0" max="5" min="5" style="0" width="50"/>
    <col collapsed="false" customWidth="true" hidden="false" outlineLevel="0" max="6" min="6" style="0" width="10"/>
    <col collapsed="false" customWidth="true" hidden="false" outlineLevel="0" max="8" min="7" style="0" width="11"/>
    <col collapsed="false" customWidth="true" hidden="false" outlineLevel="0" max="9" min="9" style="0" width="13"/>
    <col collapsed="false" customWidth="true" hidden="false" outlineLevel="0" max="10" min="10" style="0" width="36"/>
  </cols>
  <sheetData>
    <row r="1" customFormat="false" ht="37.5" hidden="false" customHeight="true" outlineLevel="0" collapsed="false">
      <c r="A1" s="37" t="s">
        <v>182</v>
      </c>
      <c r="B1" s="37"/>
      <c r="C1" s="37"/>
      <c r="D1" s="37"/>
      <c r="E1" s="37"/>
      <c r="F1" s="37"/>
      <c r="G1" s="37"/>
      <c r="H1" s="37"/>
      <c r="I1" s="37"/>
      <c r="J1" s="37"/>
    </row>
    <row r="2" customFormat="false" ht="18" hidden="false" customHeight="true" outlineLevel="0" collapsed="false">
      <c r="A2" s="12" t="s">
        <v>39</v>
      </c>
      <c r="B2" s="12"/>
      <c r="C2" s="12"/>
      <c r="D2" s="12"/>
      <c r="E2" s="12"/>
      <c r="F2" s="12"/>
      <c r="G2" s="12"/>
      <c r="H2" s="12"/>
      <c r="I2" s="12"/>
      <c r="J2" s="12"/>
    </row>
    <row r="3" customFormat="false" ht="25.5" hidden="false" customHeight="true" outlineLevel="0" collapsed="false">
      <c r="A3" s="38" t="s">
        <v>40</v>
      </c>
      <c r="B3" s="38" t="s">
        <v>41</v>
      </c>
      <c r="C3" s="38" t="s">
        <v>42</v>
      </c>
      <c r="D3" s="38" t="s">
        <v>43</v>
      </c>
      <c r="E3" s="38" t="s">
        <v>44</v>
      </c>
      <c r="F3" s="38" t="s">
        <v>45</v>
      </c>
      <c r="G3" s="38" t="s">
        <v>46</v>
      </c>
      <c r="H3" s="38" t="s">
        <v>47</v>
      </c>
      <c r="I3" s="38" t="s">
        <v>6</v>
      </c>
      <c r="J3" s="38" t="s">
        <v>48</v>
      </c>
    </row>
    <row r="4" customFormat="false" ht="19.5" hidden="false" customHeight="true" outlineLevel="0" collapsed="false">
      <c r="A4" s="15" t="s">
        <v>49</v>
      </c>
      <c r="B4" s="15"/>
      <c r="C4" s="15"/>
      <c r="D4" s="15"/>
      <c r="E4" s="15"/>
      <c r="F4" s="15"/>
      <c r="G4" s="15"/>
      <c r="H4" s="15"/>
      <c r="I4" s="15"/>
      <c r="J4" s="15"/>
    </row>
    <row r="5" customFormat="false" ht="99.75" hidden="false" customHeight="true" outlineLevel="0" collapsed="false">
      <c r="A5" s="39" t="s">
        <v>50</v>
      </c>
      <c r="B5" s="17" t="s">
        <v>51</v>
      </c>
      <c r="C5" s="18" t="s">
        <v>183</v>
      </c>
      <c r="D5" s="19" t="s">
        <v>184</v>
      </c>
      <c r="E5" s="20" t="s">
        <v>185</v>
      </c>
      <c r="F5" s="30" t="s">
        <v>62</v>
      </c>
      <c r="G5" s="22" t="s">
        <v>56</v>
      </c>
      <c r="H5" s="22" t="s">
        <v>63</v>
      </c>
      <c r="I5" s="23" t="s">
        <v>12</v>
      </c>
      <c r="J5" s="24" t="s">
        <v>186</v>
      </c>
    </row>
    <row r="6" customFormat="false" ht="99.75" hidden="false" customHeight="true" outlineLevel="0" collapsed="false">
      <c r="A6" s="40" t="s">
        <v>58</v>
      </c>
      <c r="B6" s="26" t="s">
        <v>51</v>
      </c>
      <c r="C6" s="27" t="s">
        <v>187</v>
      </c>
      <c r="D6" s="28" t="s">
        <v>188</v>
      </c>
      <c r="E6" s="29" t="s">
        <v>189</v>
      </c>
      <c r="F6" s="21" t="s">
        <v>55</v>
      </c>
      <c r="G6" s="31" t="s">
        <v>56</v>
      </c>
      <c r="H6" s="31" t="s">
        <v>63</v>
      </c>
      <c r="I6" s="23" t="s">
        <v>12</v>
      </c>
      <c r="J6" s="32" t="s">
        <v>190</v>
      </c>
    </row>
    <row r="7" customFormat="false" ht="99.75" hidden="false" customHeight="true" outlineLevel="0" collapsed="false">
      <c r="A7" s="39" t="s">
        <v>65</v>
      </c>
      <c r="B7" s="17" t="s">
        <v>51</v>
      </c>
      <c r="C7" s="18" t="s">
        <v>75</v>
      </c>
      <c r="D7" s="19" t="s">
        <v>191</v>
      </c>
      <c r="E7" s="20" t="s">
        <v>192</v>
      </c>
      <c r="F7" s="30" t="s">
        <v>62</v>
      </c>
      <c r="G7" s="22" t="s">
        <v>63</v>
      </c>
      <c r="H7" s="22" t="s">
        <v>63</v>
      </c>
      <c r="I7" s="23" t="s">
        <v>12</v>
      </c>
      <c r="J7" s="24"/>
    </row>
    <row r="8" customFormat="false" ht="99.75" hidden="false" customHeight="true" outlineLevel="0" collapsed="false">
      <c r="A8" s="40" t="s">
        <v>70</v>
      </c>
      <c r="B8" s="26" t="s">
        <v>51</v>
      </c>
      <c r="C8" s="27" t="s">
        <v>66</v>
      </c>
      <c r="D8" s="28" t="s">
        <v>193</v>
      </c>
      <c r="E8" s="29" t="s">
        <v>194</v>
      </c>
      <c r="F8" s="30" t="s">
        <v>62</v>
      </c>
      <c r="G8" s="31" t="s">
        <v>63</v>
      </c>
      <c r="H8" s="31" t="s">
        <v>63</v>
      </c>
      <c r="I8" s="23" t="s">
        <v>12</v>
      </c>
      <c r="J8" s="32" t="s">
        <v>195</v>
      </c>
    </row>
    <row r="9" customFormat="false" ht="19.5" hidden="false" customHeight="true" outlineLevel="0" collapsed="false">
      <c r="A9" s="15" t="s">
        <v>196</v>
      </c>
      <c r="B9" s="15"/>
      <c r="C9" s="15"/>
      <c r="D9" s="15"/>
      <c r="E9" s="15"/>
      <c r="F9" s="15"/>
      <c r="G9" s="15"/>
      <c r="H9" s="15"/>
      <c r="I9" s="15"/>
      <c r="J9" s="15"/>
    </row>
    <row r="10" customFormat="false" ht="99.75" hidden="false" customHeight="true" outlineLevel="0" collapsed="false">
      <c r="A10" s="39" t="s">
        <v>74</v>
      </c>
      <c r="B10" s="17" t="s">
        <v>197</v>
      </c>
      <c r="C10" s="18" t="s">
        <v>198</v>
      </c>
      <c r="D10" s="19" t="s">
        <v>199</v>
      </c>
      <c r="E10" s="20" t="s">
        <v>200</v>
      </c>
      <c r="F10" s="30" t="s">
        <v>62</v>
      </c>
      <c r="G10" s="22" t="s">
        <v>201</v>
      </c>
      <c r="H10" s="22" t="s">
        <v>201</v>
      </c>
      <c r="I10" s="23" t="s">
        <v>12</v>
      </c>
      <c r="J10" s="24" t="s">
        <v>202</v>
      </c>
    </row>
    <row r="11" customFormat="false" ht="99.75" hidden="false" customHeight="true" outlineLevel="0" collapsed="false">
      <c r="A11" s="40" t="s">
        <v>79</v>
      </c>
      <c r="B11" s="26" t="s">
        <v>197</v>
      </c>
      <c r="C11" s="27" t="s">
        <v>203</v>
      </c>
      <c r="D11" s="28" t="s">
        <v>204</v>
      </c>
      <c r="E11" s="29" t="s">
        <v>205</v>
      </c>
      <c r="F11" s="30" t="s">
        <v>62</v>
      </c>
      <c r="G11" s="31" t="s">
        <v>201</v>
      </c>
      <c r="H11" s="31" t="s">
        <v>201</v>
      </c>
      <c r="I11" s="23" t="s">
        <v>12</v>
      </c>
      <c r="J11" s="32" t="s">
        <v>206</v>
      </c>
    </row>
    <row r="12" customFormat="false" ht="99.75" hidden="false" customHeight="true" outlineLevel="0" collapsed="false">
      <c r="A12" s="39" t="s">
        <v>85</v>
      </c>
      <c r="B12" s="17" t="s">
        <v>197</v>
      </c>
      <c r="C12" s="18" t="s">
        <v>207</v>
      </c>
      <c r="D12" s="19" t="s">
        <v>208</v>
      </c>
      <c r="E12" s="20" t="s">
        <v>209</v>
      </c>
      <c r="F12" s="21" t="s">
        <v>55</v>
      </c>
      <c r="G12" s="22" t="s">
        <v>201</v>
      </c>
      <c r="H12" s="22" t="s">
        <v>201</v>
      </c>
      <c r="I12" s="23" t="s">
        <v>12</v>
      </c>
      <c r="J12" s="24"/>
    </row>
    <row r="13" customFormat="false" ht="99.75" hidden="false" customHeight="true" outlineLevel="0" collapsed="false">
      <c r="A13" s="40" t="s">
        <v>89</v>
      </c>
      <c r="B13" s="26" t="s">
        <v>197</v>
      </c>
      <c r="C13" s="27" t="s">
        <v>210</v>
      </c>
      <c r="D13" s="28" t="s">
        <v>211</v>
      </c>
      <c r="E13" s="29" t="s">
        <v>212</v>
      </c>
      <c r="F13" s="33" t="s">
        <v>123</v>
      </c>
      <c r="G13" s="31" t="s">
        <v>201</v>
      </c>
      <c r="H13" s="31" t="s">
        <v>213</v>
      </c>
      <c r="I13" s="23" t="s">
        <v>12</v>
      </c>
      <c r="J13" s="32" t="s">
        <v>214</v>
      </c>
    </row>
    <row r="14" customFormat="false" ht="99.75" hidden="false" customHeight="true" outlineLevel="0" collapsed="false">
      <c r="A14" s="39" t="s">
        <v>93</v>
      </c>
      <c r="B14" s="17" t="s">
        <v>197</v>
      </c>
      <c r="C14" s="18" t="s">
        <v>215</v>
      </c>
      <c r="D14" s="19" t="s">
        <v>216</v>
      </c>
      <c r="E14" s="20" t="s">
        <v>217</v>
      </c>
      <c r="F14" s="33" t="s">
        <v>123</v>
      </c>
      <c r="G14" s="22" t="s">
        <v>213</v>
      </c>
      <c r="H14" s="22" t="s">
        <v>213</v>
      </c>
      <c r="I14" s="23" t="s">
        <v>12</v>
      </c>
      <c r="J14" s="24" t="s">
        <v>218</v>
      </c>
    </row>
    <row r="15" customFormat="false" ht="99.75" hidden="false" customHeight="true" outlineLevel="0" collapsed="false">
      <c r="A15" s="40" t="s">
        <v>98</v>
      </c>
      <c r="B15" s="26" t="s">
        <v>197</v>
      </c>
      <c r="C15" s="27" t="s">
        <v>219</v>
      </c>
      <c r="D15" s="28" t="s">
        <v>220</v>
      </c>
      <c r="E15" s="29" t="s">
        <v>221</v>
      </c>
      <c r="F15" s="21" t="s">
        <v>55</v>
      </c>
      <c r="G15" s="31" t="s">
        <v>213</v>
      </c>
      <c r="H15" s="31" t="s">
        <v>213</v>
      </c>
      <c r="I15" s="23" t="s">
        <v>12</v>
      </c>
      <c r="J15" s="32"/>
    </row>
    <row r="16" customFormat="false" ht="99.75" hidden="false" customHeight="true" outlineLevel="0" collapsed="false">
      <c r="A16" s="39" t="s">
        <v>104</v>
      </c>
      <c r="B16" s="17" t="s">
        <v>197</v>
      </c>
      <c r="C16" s="18" t="s">
        <v>222</v>
      </c>
      <c r="D16" s="19" t="s">
        <v>223</v>
      </c>
      <c r="E16" s="20" t="s">
        <v>224</v>
      </c>
      <c r="F16" s="21" t="s">
        <v>55</v>
      </c>
      <c r="G16" s="22" t="s">
        <v>213</v>
      </c>
      <c r="H16" s="22" t="s">
        <v>213</v>
      </c>
      <c r="I16" s="23" t="s">
        <v>12</v>
      </c>
      <c r="J16" s="24" t="s">
        <v>225</v>
      </c>
    </row>
    <row r="17" customFormat="false" ht="19.5" hidden="false" customHeight="true" outlineLevel="0" collapsed="false">
      <c r="A17" s="15" t="s">
        <v>226</v>
      </c>
      <c r="B17" s="15"/>
      <c r="C17" s="15"/>
      <c r="D17" s="15"/>
      <c r="E17" s="15"/>
      <c r="F17" s="15"/>
      <c r="G17" s="15"/>
      <c r="H17" s="15"/>
      <c r="I17" s="15"/>
      <c r="J17" s="15"/>
    </row>
    <row r="18" customFormat="false" ht="99.75" hidden="false" customHeight="true" outlineLevel="0" collapsed="false">
      <c r="A18" s="40" t="s">
        <v>110</v>
      </c>
      <c r="B18" s="26" t="s">
        <v>227</v>
      </c>
      <c r="C18" s="27" t="s">
        <v>228</v>
      </c>
      <c r="D18" s="28" t="s">
        <v>229</v>
      </c>
      <c r="E18" s="29" t="s">
        <v>230</v>
      </c>
      <c r="F18" s="21" t="s">
        <v>55</v>
      </c>
      <c r="G18" s="31" t="s">
        <v>231</v>
      </c>
      <c r="H18" s="31" t="s">
        <v>231</v>
      </c>
      <c r="I18" s="23" t="s">
        <v>12</v>
      </c>
      <c r="J18" s="32"/>
    </row>
    <row r="19" customFormat="false" ht="99.75" hidden="false" customHeight="true" outlineLevel="0" collapsed="false">
      <c r="A19" s="39" t="s">
        <v>115</v>
      </c>
      <c r="B19" s="17" t="s">
        <v>227</v>
      </c>
      <c r="C19" s="18" t="s">
        <v>232</v>
      </c>
      <c r="D19" s="19" t="s">
        <v>233</v>
      </c>
      <c r="E19" s="20" t="s">
        <v>234</v>
      </c>
      <c r="F19" s="30" t="s">
        <v>62</v>
      </c>
      <c r="G19" s="22" t="s">
        <v>231</v>
      </c>
      <c r="H19" s="22" t="s">
        <v>84</v>
      </c>
      <c r="I19" s="23" t="s">
        <v>12</v>
      </c>
      <c r="J19" s="24"/>
    </row>
    <row r="20" customFormat="false" ht="99.75" hidden="false" customHeight="true" outlineLevel="0" collapsed="false">
      <c r="A20" s="40" t="s">
        <v>119</v>
      </c>
      <c r="B20" s="26" t="s">
        <v>227</v>
      </c>
      <c r="C20" s="27" t="s">
        <v>235</v>
      </c>
      <c r="D20" s="28" t="s">
        <v>236</v>
      </c>
      <c r="E20" s="29" t="s">
        <v>237</v>
      </c>
      <c r="F20" s="30" t="s">
        <v>62</v>
      </c>
      <c r="G20" s="31" t="s">
        <v>231</v>
      </c>
      <c r="H20" s="31" t="s">
        <v>231</v>
      </c>
      <c r="I20" s="23" t="s">
        <v>12</v>
      </c>
      <c r="J20" s="32"/>
    </row>
    <row r="21" customFormat="false" ht="99.75" hidden="false" customHeight="true" outlineLevel="0" collapsed="false">
      <c r="A21" s="39" t="s">
        <v>126</v>
      </c>
      <c r="B21" s="17" t="s">
        <v>227</v>
      </c>
      <c r="C21" s="18" t="s">
        <v>238</v>
      </c>
      <c r="D21" s="19" t="s">
        <v>239</v>
      </c>
      <c r="E21" s="20" t="s">
        <v>240</v>
      </c>
      <c r="F21" s="30" t="s">
        <v>62</v>
      </c>
      <c r="G21" s="22" t="s">
        <v>231</v>
      </c>
      <c r="H21" s="22" t="s">
        <v>231</v>
      </c>
      <c r="I21" s="23" t="s">
        <v>12</v>
      </c>
      <c r="J21" s="24"/>
    </row>
    <row r="22" customFormat="false" ht="19.5" hidden="false" customHeight="true" outlineLevel="0" collapsed="false">
      <c r="A22" s="15" t="s">
        <v>241</v>
      </c>
      <c r="B22" s="15"/>
      <c r="C22" s="15"/>
      <c r="D22" s="15"/>
      <c r="E22" s="15"/>
      <c r="F22" s="15"/>
      <c r="G22" s="15"/>
      <c r="H22" s="15"/>
      <c r="I22" s="15"/>
      <c r="J22" s="15"/>
    </row>
    <row r="23" customFormat="false" ht="99.75" hidden="false" customHeight="true" outlineLevel="0" collapsed="false">
      <c r="A23" s="40" t="s">
        <v>132</v>
      </c>
      <c r="B23" s="26" t="s">
        <v>242</v>
      </c>
      <c r="C23" s="27" t="s">
        <v>243</v>
      </c>
      <c r="D23" s="28" t="s">
        <v>244</v>
      </c>
      <c r="E23" s="29" t="s">
        <v>245</v>
      </c>
      <c r="F23" s="30" t="s">
        <v>62</v>
      </c>
      <c r="G23" s="31" t="s">
        <v>84</v>
      </c>
      <c r="H23" s="31" t="s">
        <v>84</v>
      </c>
      <c r="I23" s="23" t="s">
        <v>12</v>
      </c>
      <c r="J23" s="32"/>
    </row>
    <row r="24" customFormat="false" ht="99.75" hidden="false" customHeight="true" outlineLevel="0" collapsed="false">
      <c r="A24" s="39" t="s">
        <v>137</v>
      </c>
      <c r="B24" s="17" t="s">
        <v>242</v>
      </c>
      <c r="C24" s="18" t="s">
        <v>246</v>
      </c>
      <c r="D24" s="19" t="s">
        <v>247</v>
      </c>
      <c r="E24" s="20" t="s">
        <v>248</v>
      </c>
      <c r="F24" s="33" t="s">
        <v>123</v>
      </c>
      <c r="G24" s="22" t="s">
        <v>84</v>
      </c>
      <c r="H24" s="22" t="s">
        <v>84</v>
      </c>
      <c r="I24" s="23" t="s">
        <v>12</v>
      </c>
      <c r="J24" s="24" t="s">
        <v>249</v>
      </c>
    </row>
    <row r="25" customFormat="false" ht="99.75" hidden="false" customHeight="true" outlineLevel="0" collapsed="false">
      <c r="A25" s="40" t="s">
        <v>142</v>
      </c>
      <c r="B25" s="26" t="s">
        <v>242</v>
      </c>
      <c r="C25" s="27" t="s">
        <v>250</v>
      </c>
      <c r="D25" s="28" t="s">
        <v>251</v>
      </c>
      <c r="E25" s="29" t="s">
        <v>252</v>
      </c>
      <c r="F25" s="33" t="s">
        <v>123</v>
      </c>
      <c r="G25" s="31" t="s">
        <v>84</v>
      </c>
      <c r="H25" s="31" t="s">
        <v>97</v>
      </c>
      <c r="I25" s="23" t="s">
        <v>12</v>
      </c>
      <c r="J25" s="32" t="s">
        <v>253</v>
      </c>
    </row>
    <row r="26" customFormat="false" ht="99.75" hidden="false" customHeight="true" outlineLevel="0" collapsed="false">
      <c r="A26" s="39" t="s">
        <v>147</v>
      </c>
      <c r="B26" s="17" t="s">
        <v>242</v>
      </c>
      <c r="C26" s="18" t="s">
        <v>254</v>
      </c>
      <c r="D26" s="19" t="s">
        <v>255</v>
      </c>
      <c r="E26" s="20" t="s">
        <v>256</v>
      </c>
      <c r="F26" s="30" t="s">
        <v>62</v>
      </c>
      <c r="G26" s="22" t="s">
        <v>97</v>
      </c>
      <c r="H26" s="22" t="s">
        <v>97</v>
      </c>
      <c r="I26" s="23" t="s">
        <v>12</v>
      </c>
      <c r="J26" s="24" t="s">
        <v>257</v>
      </c>
    </row>
    <row r="27" customFormat="false" ht="19.5" hidden="false" customHeight="true" outlineLevel="0" collapsed="false">
      <c r="A27" s="15" t="s">
        <v>165</v>
      </c>
      <c r="B27" s="15"/>
      <c r="C27" s="15"/>
      <c r="D27" s="15"/>
      <c r="E27" s="15"/>
      <c r="F27" s="15"/>
      <c r="G27" s="15"/>
      <c r="H27" s="15"/>
      <c r="I27" s="15"/>
      <c r="J27" s="15"/>
    </row>
    <row r="28" customFormat="false" ht="99.75" hidden="false" customHeight="true" outlineLevel="0" collapsed="false">
      <c r="A28" s="40" t="s">
        <v>151</v>
      </c>
      <c r="B28" s="26" t="s">
        <v>167</v>
      </c>
      <c r="C28" s="27" t="s">
        <v>258</v>
      </c>
      <c r="D28" s="28" t="s">
        <v>259</v>
      </c>
      <c r="E28" s="29" t="s">
        <v>260</v>
      </c>
      <c r="F28" s="30" t="s">
        <v>62</v>
      </c>
      <c r="G28" s="31" t="s">
        <v>97</v>
      </c>
      <c r="H28" s="31" t="s">
        <v>124</v>
      </c>
      <c r="I28" s="23" t="s">
        <v>12</v>
      </c>
      <c r="J28" s="32" t="s">
        <v>261</v>
      </c>
    </row>
    <row r="29" customFormat="false" ht="99.75" hidden="false" customHeight="true" outlineLevel="0" collapsed="false">
      <c r="A29" s="39" t="s">
        <v>157</v>
      </c>
      <c r="B29" s="17" t="s">
        <v>167</v>
      </c>
      <c r="C29" s="18" t="s">
        <v>173</v>
      </c>
      <c r="D29" s="19" t="s">
        <v>262</v>
      </c>
      <c r="E29" s="20" t="s">
        <v>263</v>
      </c>
      <c r="F29" s="30" t="s">
        <v>62</v>
      </c>
      <c r="G29" s="22" t="s">
        <v>124</v>
      </c>
      <c r="H29" s="22" t="s">
        <v>124</v>
      </c>
      <c r="I29" s="23" t="s">
        <v>12</v>
      </c>
      <c r="J29" s="24" t="s">
        <v>264</v>
      </c>
    </row>
    <row r="30" customFormat="false" ht="99.75" hidden="false" customHeight="true" outlineLevel="0" collapsed="false">
      <c r="A30" s="40" t="s">
        <v>161</v>
      </c>
      <c r="B30" s="26" t="s">
        <v>167</v>
      </c>
      <c r="C30" s="27" t="s">
        <v>265</v>
      </c>
      <c r="D30" s="28" t="s">
        <v>266</v>
      </c>
      <c r="E30" s="29" t="s">
        <v>267</v>
      </c>
      <c r="F30" s="30" t="s">
        <v>62</v>
      </c>
      <c r="G30" s="31" t="s">
        <v>124</v>
      </c>
      <c r="H30" s="31" t="s">
        <v>124</v>
      </c>
      <c r="I30" s="23" t="s">
        <v>12</v>
      </c>
      <c r="J30" s="32"/>
    </row>
    <row r="32" customFormat="false" ht="21.75" hidden="false" customHeight="true" outlineLevel="0" collapsed="false">
      <c r="A32" s="41" t="s">
        <v>268</v>
      </c>
      <c r="B32" s="41"/>
      <c r="C32" s="41"/>
      <c r="D32" s="35" t="str">
        <f aca="false">COUNTIF(I4:I30,"Complete")&amp;" of 22 Complete"</f>
        <v>0 of 22 Complete</v>
      </c>
      <c r="E32" s="35"/>
      <c r="F32" s="35"/>
      <c r="G32" s="36" t="str">
        <f aca="false">COUNTIF(I4:I30,"In Progress")&amp;" In Progress   |   "&amp;COUNTIF(I4:I30,"Blocked")&amp;" Blocked"</f>
        <v>0 In Progress   |   0 Blocked</v>
      </c>
      <c r="H32" s="36"/>
      <c r="I32" s="36"/>
      <c r="J32" s="36"/>
    </row>
  </sheetData>
  <mergeCells count="10">
    <mergeCell ref="A1:J1"/>
    <mergeCell ref="A2:J2"/>
    <mergeCell ref="A4:J4"/>
    <mergeCell ref="A9:J9"/>
    <mergeCell ref="A17:J17"/>
    <mergeCell ref="A22:J22"/>
    <mergeCell ref="A27:J27"/>
    <mergeCell ref="A32:C32"/>
    <mergeCell ref="D32:F32"/>
    <mergeCell ref="G32:J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2026-03-24T05:47:37Z</dcterms:created>
  <dc:creator>openpyxl</dc:creator>
  <dc:description/>
  <dc:language>en-US</dc:language>
  <cp:lastModifiedBy/>
  <dcterms:modified xsi:type="dcterms:W3CDTF">2026-03-24T05:47:37Z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